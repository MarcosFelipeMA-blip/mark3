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iclos" sheetId="2" state="visible" r:id="rId2"/>
    <sheet name="Clientes" sheetId="3" state="visible" r:id="rId3"/>
    <sheet name="Precificação" sheetId="4" state="visible" r:id="rId4"/>
    <sheet name="Metas" sheetId="5" state="visible" r:id="rId5"/>
    <sheet name="Calendário 30 dias" sheetId="6" state="visible" r:id="rId6"/>
    <sheet name="Campanhas do ano" sheetId="7" state="visible" r:id="rId7"/>
    <sheet name="Vales e Pacotes" sheetId="8" state="visible" r:id="rId8"/>
  </sheets>
  <definedNames>
    <definedName name="_xlnm._FilterDatabase" localSheetId="2" hidden="1">'Clientes'!$A$4:$K$404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DD/MM"/>
    <numFmt numFmtId="166" formatCode="R$ #,##0.00"/>
    <numFmt numFmtId="167" formatCode="0.0%"/>
    <numFmt numFmtId="168" formatCode="R$ #,##0.000"/>
    <numFmt numFmtId="169" formatCode="0.0"/>
  </numFmts>
  <fonts count="6">
    <font>
      <name val="Calibri"/>
      <family val="2"/>
      <color theme="1"/>
      <sz val="11"/>
      <scheme val="minor"/>
    </font>
    <font>
      <b val="1"/>
      <color rgb="00B0476B"/>
      <sz val="16"/>
    </font>
    <font>
      <i val="1"/>
      <color rgb="00666666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B0476B"/>
      </patternFill>
    </fill>
    <fill>
      <patternFill patternType="solid">
        <fgColor rgb="00FFF4CC"/>
      </patternFill>
    </fill>
    <fill>
      <patternFill patternType="solid">
        <fgColor rgb="00FBF1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0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" fontId="0" fillId="4" borderId="1" pivotButton="0" quotePrefix="0" xfId="0"/>
    <xf numFmtId="0" fontId="4" fillId="4" borderId="1" pivotButton="0" quotePrefix="0" xfId="0"/>
    <xf numFmtId="165" fontId="0" fillId="3" borderId="1" pivotButton="0" quotePrefix="0" xfId="0"/>
    <xf numFmtId="166" fontId="0" fillId="3" borderId="1" pivotButton="0" quotePrefix="0" xfId="0"/>
    <xf numFmtId="1" fontId="0" fillId="3" borderId="1" pivotButton="0" quotePrefix="0" xfId="0"/>
    <xf numFmtId="167" fontId="0" fillId="3" borderId="1" pivotButton="0" quotePrefix="0" xfId="0"/>
    <xf numFmtId="166" fontId="4" fillId="4" borderId="1" pivotButton="0" quotePrefix="0" xfId="0"/>
    <xf numFmtId="168" fontId="4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5" fillId="0" borderId="0" pivotButton="0" quotePrefix="0" xfId="0"/>
    <xf numFmtId="1" fontId="4" fillId="4" borderId="1" pivotButton="0" quotePrefix="0" xfId="0"/>
    <xf numFmtId="167" fontId="4" fillId="4" borderId="1" pivotButton="0" quotePrefix="0" xfId="0"/>
    <xf numFmtId="169" fontId="4" fillId="4" borderId="1" pivotButton="0" quotePrefix="0" xfId="0"/>
    <xf numFmtId="0" fontId="4" fillId="4" borderId="1" applyAlignment="1" pivotButton="0" quotePrefix="0" xfId="0">
      <alignment wrapText="1"/>
    </xf>
  </cellXfs>
  <cellStyles count="1">
    <cellStyle name="Normal" xfId="0" builtinId="0" hidden="0"/>
  </cellStyles>
  <dxfs count="3">
    <dxf>
      <font>
        <b val="1"/>
        <color rgb="001E6B3C"/>
      </font>
      <fill>
        <patternFill patternType="solid">
          <fgColor rgb="00E3F4E8"/>
        </patternFill>
      </fill>
    </dxf>
    <dxf>
      <font>
        <b val="1"/>
        <color rgb="008A5A00"/>
      </font>
      <fill>
        <patternFill patternType="solid">
          <fgColor rgb="00FFF1C2"/>
        </patternFill>
      </fill>
    </dxf>
    <dxf>
      <font>
        <b val="1"/>
        <color rgb="00A12622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Planilhas do Salão</t>
        </is>
      </c>
    </row>
    <row r="2">
      <c r="A2" s="2" t="inlineStr">
        <is>
          <t>Preencha só as células AMARELAS. As células coloridas são calculadas sozinhas.</t>
        </is>
      </c>
    </row>
    <row r="4">
      <c r="A4" s="3" t="inlineStr">
        <is>
          <t>COMO USAR</t>
        </is>
      </c>
    </row>
    <row r="5">
      <c r="A5" s="3" t="inlineStr">
        <is>
          <t>1. Aba 'Metas': preencha a estrutura do salão e descubra sua ocupação e quantos atendimentos por dia você precisa.</t>
        </is>
      </c>
    </row>
    <row r="6">
      <c r="A6" s="3" t="inlineStr">
        <is>
          <t>2. Aba 'Precificação': coloque seus custos fixos e seus serviços. Os serviços em VERMELHO estão abaixo do preço mínimo.</t>
        </is>
      </c>
    </row>
    <row r="7">
      <c r="A7" s="3" t="inlineStr">
        <is>
          <t>3. Aba 'Ciclos': confira de quantos em quantos dias cada serviço deve voltar (já vem preenchida, ajuste se quiser).</t>
        </is>
      </c>
    </row>
    <row r="8">
      <c r="A8" s="3" t="inlineStr">
        <is>
          <t>4. Aba 'Clientes': cadastre suas clientes com a data da última visita. A coluna Status diz quem chamar hoje.</t>
        </is>
      </c>
    </row>
    <row r="9">
      <c r="A9" s="3" t="inlineStr">
        <is>
          <t xml:space="preserve">   • Em dia: ainda não é hora.  • Chamar agora: passou do prazo (use o Prompt 28).  • Sumida: 15 a 60 dias de atraso (Prompts 29 e 30).  • Reativar: mais de 60 dias (Prompt 31).</t>
        </is>
      </c>
    </row>
    <row r="10">
      <c r="A10" s="3" t="inlineStr">
        <is>
          <t>5. Aba 'Calendário 30 dias': o que postar em cada dia, com o prompt certo. Marque 'Feito'.</t>
        </is>
      </c>
    </row>
    <row r="11">
      <c r="A11" s="3" t="inlineStr">
        <is>
          <t>6. Aba 'Campanhas do ano': datas para planejar com 3 a 4 semanas de antecedência (Prompt 41).</t>
        </is>
      </c>
    </row>
    <row r="12">
      <c r="A12" s="3" t="inlineStr">
        <is>
          <t>7. Aba 'Vales e Pacotes': controle os vale-presentes e pacotes vendidos, com validade automática.</t>
        </is>
      </c>
    </row>
    <row r="13">
      <c r="A13" s="3" t="inlineStr"/>
    </row>
    <row r="14">
      <c r="A14" s="3" t="inlineStr">
        <is>
          <t>DICAS</t>
        </is>
      </c>
    </row>
    <row r="15">
      <c r="A15" s="3" t="inlineStr">
        <is>
          <t>• Funciona no Excel e no Google Planilhas (planilhas.google.com &gt; Abrir &gt; Fazer upload).</t>
        </is>
      </c>
    </row>
    <row r="16">
      <c r="A16" s="3" t="inlineStr">
        <is>
          <t>• Atualize a aba Clientes toda semana. Leva 5 minutos e é o que mais traz dinheiro de volta.</t>
        </is>
      </c>
    </row>
    <row r="17">
      <c r="A17" s="3" t="inlineStr">
        <is>
          <t>• As datas devem ser digitadas no formato dia/mês/ano, ex.: 15/09/2026.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Ciclo de retorno por serviço</t>
        </is>
      </c>
    </row>
    <row r="2">
      <c r="A2" s="2" t="inlineStr">
        <is>
          <t>Em quantos dias a cliente normalmente deve voltar. Ajuste à sua realidade.</t>
        </is>
      </c>
    </row>
    <row r="4" ht="32" customHeight="1">
      <c r="A4" s="4" t="inlineStr">
        <is>
          <t>Serviço</t>
        </is>
      </c>
      <c r="B4" s="4" t="inlineStr">
        <is>
          <t>Ciclo (dias)</t>
        </is>
      </c>
    </row>
    <row r="5">
      <c r="A5" s="5" t="inlineStr">
        <is>
          <t>Manicure</t>
        </is>
      </c>
      <c r="B5" s="5" t="n">
        <v>10</v>
      </c>
    </row>
    <row r="6">
      <c r="A6" s="5" t="inlineStr">
        <is>
          <t>Pedicure</t>
        </is>
      </c>
      <c r="B6" s="5" t="n">
        <v>15</v>
      </c>
    </row>
    <row r="7">
      <c r="A7" s="5" t="inlineStr">
        <is>
          <t>Manicure e pedicure</t>
        </is>
      </c>
      <c r="B7" s="5" t="n">
        <v>12</v>
      </c>
    </row>
    <row r="8">
      <c r="A8" s="5" t="inlineStr">
        <is>
          <t>Escova</t>
        </is>
      </c>
      <c r="B8" s="5" t="n">
        <v>7</v>
      </c>
    </row>
    <row r="9">
      <c r="A9" s="5" t="inlineStr">
        <is>
          <t>Unhas em gel (manutenção)</t>
        </is>
      </c>
      <c r="B9" s="5" t="n">
        <v>25</v>
      </c>
    </row>
    <row r="10">
      <c r="A10" s="5" t="inlineStr">
        <is>
          <t>Design de sobrancelha</t>
        </is>
      </c>
      <c r="B10" s="5" t="n">
        <v>20</v>
      </c>
    </row>
    <row r="11">
      <c r="A11" s="5" t="inlineStr">
        <is>
          <t>Retoque de raiz</t>
        </is>
      </c>
      <c r="B11" s="5" t="n">
        <v>35</v>
      </c>
    </row>
    <row r="12">
      <c r="A12" s="5" t="inlineStr">
        <is>
          <t>Coloração</t>
        </is>
      </c>
      <c r="B12" s="5" t="n">
        <v>45</v>
      </c>
    </row>
    <row r="13">
      <c r="A13" s="5" t="inlineStr">
        <is>
          <t>Corte feminino</t>
        </is>
      </c>
      <c r="B13" s="5" t="n">
        <v>60</v>
      </c>
    </row>
    <row r="14">
      <c r="A14" s="5" t="inlineStr">
        <is>
          <t>Corte masculino</t>
        </is>
      </c>
      <c r="B14" s="5" t="n">
        <v>30</v>
      </c>
    </row>
    <row r="15">
      <c r="A15" s="5" t="inlineStr">
        <is>
          <t>Barba</t>
        </is>
      </c>
      <c r="B15" s="5" t="n">
        <v>15</v>
      </c>
    </row>
    <row r="16">
      <c r="A16" s="5" t="inlineStr">
        <is>
          <t>Mechas / luzes</t>
        </is>
      </c>
      <c r="B16" s="5" t="n">
        <v>90</v>
      </c>
    </row>
    <row r="17">
      <c r="A17" s="5" t="inlineStr">
        <is>
          <t>Progressiva / alisamento</t>
        </is>
      </c>
      <c r="B17" s="5" t="n">
        <v>100</v>
      </c>
    </row>
    <row r="18">
      <c r="A18" s="5" t="inlineStr">
        <is>
          <t>Hidratação / tratamento</t>
        </is>
      </c>
      <c r="B18" s="5" t="n">
        <v>20</v>
      </c>
    </row>
    <row r="19">
      <c r="A19" s="5" t="inlineStr">
        <is>
          <t>Cílios (manutenção)</t>
        </is>
      </c>
      <c r="B19" s="5" t="n">
        <v>21</v>
      </c>
    </row>
    <row r="20">
      <c r="A20" s="5" t="inlineStr">
        <is>
          <t>Depilação</t>
        </is>
      </c>
      <c r="B20" s="5" t="n">
        <v>30</v>
      </c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  <row r="24">
      <c r="A24" s="5" t="n"/>
      <c r="B24" s="5" t="n"/>
    </row>
    <row r="25">
      <c r="A25" s="5" t="n"/>
      <c r="B25" s="5" t="n"/>
    </row>
    <row r="26">
      <c r="A26" s="5" t="n"/>
      <c r="B26" s="5" t="n"/>
    </row>
    <row r="27">
      <c r="A27" s="5" t="n"/>
      <c r="B27" s="5" t="n"/>
    </row>
    <row r="28">
      <c r="A28" s="5" t="n"/>
      <c r="B28" s="5" t="n"/>
    </row>
    <row r="29">
      <c r="A29" s="5" t="n"/>
      <c r="B2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4" customWidth="1" min="4" max="4"/>
    <col width="10" customWidth="1" min="5" max="5"/>
    <col width="14" customWidth="1" min="6" max="6"/>
    <col width="10" customWidth="1" min="7" max="7"/>
    <col width="15" customWidth="1" min="8" max="8"/>
    <col width="12" customWidth="1" min="9" max="9"/>
    <col width="9" customWidth="1" min="10" max="10"/>
    <col width="30" customWidth="1" min="11" max="11"/>
    <col width="3" customWidth="1" min="12" max="12"/>
    <col width="26" customWidth="1" min="13" max="13"/>
    <col width="10" customWidth="1" min="14" max="14"/>
  </cols>
  <sheetData>
    <row r="1">
      <c r="A1" s="1" t="inlineStr">
        <is>
          <t>Clientes: quem chamar hoje</t>
        </is>
      </c>
    </row>
    <row r="2">
      <c r="A2" s="2" t="inlineStr">
        <is>
          <t>Preencha nome, serviço e última visita. O status é calculado sozinho.</t>
        </is>
      </c>
    </row>
    <row r="4" ht="32" customHeight="1">
      <c r="A4" s="4" t="inlineStr">
        <is>
          <t>Nome</t>
        </is>
      </c>
      <c r="B4" s="4" t="inlineStr">
        <is>
          <t>WhatsApp</t>
        </is>
      </c>
      <c r="C4" s="4" t="inlineStr">
        <is>
          <t>Serviço principal</t>
        </is>
      </c>
      <c r="D4" s="4" t="inlineStr">
        <is>
          <t>Última visita</t>
        </is>
      </c>
      <c r="E4" s="4" t="inlineStr">
        <is>
          <t>Ciclo (dias)</t>
        </is>
      </c>
      <c r="F4" s="4" t="inlineStr">
        <is>
          <t>Próximo retorno</t>
        </is>
      </c>
      <c r="G4" s="4" t="inlineStr">
        <is>
          <t>Dias de atraso</t>
        </is>
      </c>
      <c r="H4" s="4" t="inlineStr">
        <is>
          <t>Status</t>
        </is>
      </c>
      <c r="I4" s="4" t="inlineStr">
        <is>
          <t>Aniversário</t>
        </is>
      </c>
      <c r="J4" s="4" t="inlineStr">
        <is>
          <t>Mês aniv.</t>
        </is>
      </c>
      <c r="K4" s="4" t="inlineStr">
        <is>
          <t>Observações</t>
        </is>
      </c>
      <c r="M4" s="6" t="inlineStr">
        <is>
          <t>RESUMO</t>
        </is>
      </c>
    </row>
    <row r="5">
      <c r="A5" s="5" t="inlineStr">
        <is>
          <t>Ana (exemplo)</t>
        </is>
      </c>
      <c r="B5" s="5" t="inlineStr">
        <is>
          <t>11 99999-0001</t>
        </is>
      </c>
      <c r="C5" s="5" t="inlineStr">
        <is>
          <t>Manicure</t>
        </is>
      </c>
      <c r="D5" s="7">
        <f>TODAY()-20</f>
        <v/>
      </c>
      <c r="E5" s="8">
        <f>IF(C5="","",IFERROR(VLOOKUP(C5,Ciclos!$A$5:$B$29,2,FALSE),""))</f>
        <v/>
      </c>
      <c r="F5" s="9">
        <f>IF(OR(D5="",E5=""),"",D5+E5)</f>
        <v/>
      </c>
      <c r="G5" s="10">
        <f>IF(F5="","",TODAY()-F5)</f>
        <v/>
      </c>
      <c r="H5" s="11">
        <f>IF(F5="","",IF(G5&lt;0,"Em dia",IF(G5&lt;=15,"Chamar agora",IF(G5&lt;=60,"Sumida","Reativar"))))</f>
        <v/>
      </c>
      <c r="I5" s="12" t="n"/>
      <c r="J5" s="8">
        <f>IF(I5="","",MONTH(I5))</f>
        <v/>
      </c>
      <c r="K5" s="5" t="n"/>
      <c r="M5" t="inlineStr">
        <is>
          <t>Clientes cadastradas</t>
        </is>
      </c>
      <c r="N5" s="11">
        <f>COUNTA(A5:A404)</f>
        <v/>
      </c>
    </row>
    <row r="6">
      <c r="A6" s="5" t="inlineStr">
        <is>
          <t>Carla (exemplo)</t>
        </is>
      </c>
      <c r="B6" s="5" t="inlineStr">
        <is>
          <t>11 99999-0002</t>
        </is>
      </c>
      <c r="C6" s="5" t="inlineStr">
        <is>
          <t>Retoque de raiz</t>
        </is>
      </c>
      <c r="D6" s="7">
        <f>TODAY()-40</f>
        <v/>
      </c>
      <c r="E6" s="8">
        <f>IF(C6="","",IFERROR(VLOOKUP(C6,Ciclos!$A$5:$B$29,2,FALSE),""))</f>
        <v/>
      </c>
      <c r="F6" s="9">
        <f>IF(OR(D6="",E6=""),"",D6+E6)</f>
        <v/>
      </c>
      <c r="G6" s="10">
        <f>IF(F6="","",TODAY()-F6)</f>
        <v/>
      </c>
      <c r="H6" s="11">
        <f>IF(F6="","",IF(G6&lt;0,"Em dia",IF(G6&lt;=15,"Chamar agora",IF(G6&lt;=60,"Sumida","Reativar"))))</f>
        <v/>
      </c>
      <c r="I6" s="12" t="n"/>
      <c r="J6" s="8">
        <f>IF(I6="","",MONTH(I6))</f>
        <v/>
      </c>
      <c r="K6" s="5" t="n"/>
      <c r="M6" t="inlineStr">
        <is>
          <t>Em dia</t>
        </is>
      </c>
      <c r="N6" s="11">
        <f>COUNTIF(H5:H404,"Em dia")</f>
        <v/>
      </c>
    </row>
    <row r="7">
      <c r="A7" s="5" t="inlineStr">
        <is>
          <t>Bia (exemplo)</t>
        </is>
      </c>
      <c r="B7" s="5" t="inlineStr">
        <is>
          <t>11 99999-0003</t>
        </is>
      </c>
      <c r="C7" s="5" t="inlineStr">
        <is>
          <t>Progressiva / alisamento</t>
        </is>
      </c>
      <c r="D7" s="7">
        <f>TODAY()-30</f>
        <v/>
      </c>
      <c r="E7" s="8">
        <f>IF(C7="","",IFERROR(VLOOKUP(C7,Ciclos!$A$5:$B$29,2,FALSE),""))</f>
        <v/>
      </c>
      <c r="F7" s="9">
        <f>IF(OR(D7="",E7=""),"",D7+E7)</f>
        <v/>
      </c>
      <c r="G7" s="10">
        <f>IF(F7="","",TODAY()-F7)</f>
        <v/>
      </c>
      <c r="H7" s="11">
        <f>IF(F7="","",IF(G7&lt;0,"Em dia",IF(G7&lt;=15,"Chamar agora",IF(G7&lt;=60,"Sumida","Reativar"))))</f>
        <v/>
      </c>
      <c r="I7" s="12" t="n"/>
      <c r="J7" s="8">
        <f>IF(I7="","",MONTH(I7))</f>
        <v/>
      </c>
      <c r="K7" s="5" t="n"/>
      <c r="M7" t="inlineStr">
        <is>
          <t>Chamar agora</t>
        </is>
      </c>
      <c r="N7" s="11">
        <f>COUNTIF(H5:H404,"Chamar agora")</f>
        <v/>
      </c>
    </row>
    <row r="8">
      <c r="A8" s="5" t="n"/>
      <c r="B8" s="5" t="n"/>
      <c r="C8" s="5" t="n"/>
      <c r="D8" s="7" t="n"/>
      <c r="E8" s="8">
        <f>IF(C8="","",IFERROR(VLOOKUP(C8,Ciclos!$A$5:$B$29,2,FALSE),""))</f>
        <v/>
      </c>
      <c r="F8" s="9">
        <f>IF(OR(D8="",E8=""),"",D8+E8)</f>
        <v/>
      </c>
      <c r="G8" s="10">
        <f>IF(F8="","",TODAY()-F8)</f>
        <v/>
      </c>
      <c r="H8" s="11">
        <f>IF(F8="","",IF(G8&lt;0,"Em dia",IF(G8&lt;=15,"Chamar agora",IF(G8&lt;=60,"Sumida","Reativar"))))</f>
        <v/>
      </c>
      <c r="I8" s="12" t="n"/>
      <c r="J8" s="8">
        <f>IF(I8="","",MONTH(I8))</f>
        <v/>
      </c>
      <c r="K8" s="5" t="n"/>
      <c r="M8" t="inlineStr">
        <is>
          <t>Sumidas</t>
        </is>
      </c>
      <c r="N8" s="11">
        <f>COUNTIF(H5:H404,"Sumida")</f>
        <v/>
      </c>
    </row>
    <row r="9">
      <c r="A9" s="5" t="n"/>
      <c r="B9" s="5" t="n"/>
      <c r="C9" s="5" t="n"/>
      <c r="D9" s="7" t="n"/>
      <c r="E9" s="8">
        <f>IF(C9="","",IFERROR(VLOOKUP(C9,Ciclos!$A$5:$B$29,2,FALSE),""))</f>
        <v/>
      </c>
      <c r="F9" s="9">
        <f>IF(OR(D9="",E9=""),"",D9+E9)</f>
        <v/>
      </c>
      <c r="G9" s="10">
        <f>IF(F9="","",TODAY()-F9)</f>
        <v/>
      </c>
      <c r="H9" s="11">
        <f>IF(F9="","",IF(G9&lt;0,"Em dia",IF(G9&lt;=15,"Chamar agora",IF(G9&lt;=60,"Sumida","Reativar"))))</f>
        <v/>
      </c>
      <c r="I9" s="12" t="n"/>
      <c r="J9" s="8">
        <f>IF(I9="","",MONTH(I9))</f>
        <v/>
      </c>
      <c r="K9" s="5" t="n"/>
      <c r="M9" t="inlineStr">
        <is>
          <t>Reativar (60+ dias)</t>
        </is>
      </c>
      <c r="N9" s="11">
        <f>COUNTIF(H5:H404,"Reativar")</f>
        <v/>
      </c>
    </row>
    <row r="10">
      <c r="A10" s="5" t="n"/>
      <c r="B10" s="5" t="n"/>
      <c r="C10" s="5" t="n"/>
      <c r="D10" s="7" t="n"/>
      <c r="E10" s="8">
        <f>IF(C10="","",IFERROR(VLOOKUP(C10,Ciclos!$A$5:$B$29,2,FALSE),""))</f>
        <v/>
      </c>
      <c r="F10" s="9">
        <f>IF(OR(D10="",E10=""),"",D10+E10)</f>
        <v/>
      </c>
      <c r="G10" s="10">
        <f>IF(F10="","",TODAY()-F10)</f>
        <v/>
      </c>
      <c r="H10" s="11">
        <f>IF(F10="","",IF(G10&lt;0,"Em dia",IF(G10&lt;=15,"Chamar agora",IF(G10&lt;=60,"Sumida","Reativar"))))</f>
        <v/>
      </c>
      <c r="I10" s="12" t="n"/>
      <c r="J10" s="8">
        <f>IF(I10="","",MONTH(I10))</f>
        <v/>
      </c>
      <c r="K10" s="5" t="n"/>
      <c r="M10" t="inlineStr">
        <is>
          <t>Aniversariantes do mês</t>
        </is>
      </c>
      <c r="N10" s="11">
        <f>COUNTIF(J5:J404,MONTH(TODAY()))</f>
        <v/>
      </c>
    </row>
    <row r="11">
      <c r="A11" s="5" t="n"/>
      <c r="B11" s="5" t="n"/>
      <c r="C11" s="5" t="n"/>
      <c r="D11" s="7" t="n"/>
      <c r="E11" s="8">
        <f>IF(C11="","",IFERROR(VLOOKUP(C11,Ciclos!$A$5:$B$29,2,FALSE),""))</f>
        <v/>
      </c>
      <c r="F11" s="9">
        <f>IF(OR(D11="",E11=""),"",D11+E11)</f>
        <v/>
      </c>
      <c r="G11" s="10">
        <f>IF(F11="","",TODAY()-F11)</f>
        <v/>
      </c>
      <c r="H11" s="11">
        <f>IF(F11="","",IF(G11&lt;0,"Em dia",IF(G11&lt;=15,"Chamar agora",IF(G11&lt;=60,"Sumida","Reativar"))))</f>
        <v/>
      </c>
      <c r="I11" s="12" t="n"/>
      <c r="J11" s="8">
        <f>IF(I11="","",MONTH(I11))</f>
        <v/>
      </c>
      <c r="K11" s="5" t="n"/>
    </row>
    <row r="12">
      <c r="A12" s="5" t="n"/>
      <c r="B12" s="5" t="n"/>
      <c r="C12" s="5" t="n"/>
      <c r="D12" s="7" t="n"/>
      <c r="E12" s="8">
        <f>IF(C12="","",IFERROR(VLOOKUP(C12,Ciclos!$A$5:$B$29,2,FALSE),""))</f>
        <v/>
      </c>
      <c r="F12" s="9">
        <f>IF(OR(D12="",E12=""),"",D12+E12)</f>
        <v/>
      </c>
      <c r="G12" s="10">
        <f>IF(F12="","",TODAY()-F12)</f>
        <v/>
      </c>
      <c r="H12" s="11">
        <f>IF(F12="","",IF(G12&lt;0,"Em dia",IF(G12&lt;=15,"Chamar agora",IF(G12&lt;=60,"Sumida","Reativar"))))</f>
        <v/>
      </c>
      <c r="I12" s="12" t="n"/>
      <c r="J12" s="8">
        <f>IF(I12="","",MONTH(I12))</f>
        <v/>
      </c>
      <c r="K12" s="5" t="n"/>
      <c r="M12" s="2" t="inlineStr">
        <is>
          <t>Apague as 3 linhas de exemplo quando começar.</t>
        </is>
      </c>
    </row>
    <row r="13">
      <c r="A13" s="5" t="n"/>
      <c r="B13" s="5" t="n"/>
      <c r="C13" s="5" t="n"/>
      <c r="D13" s="7" t="n"/>
      <c r="E13" s="8">
        <f>IF(C13="","",IFERROR(VLOOKUP(C13,Ciclos!$A$5:$B$29,2,FALSE),""))</f>
        <v/>
      </c>
      <c r="F13" s="9">
        <f>IF(OR(D13="",E13=""),"",D13+E13)</f>
        <v/>
      </c>
      <c r="G13" s="10">
        <f>IF(F13="","",TODAY()-F13)</f>
        <v/>
      </c>
      <c r="H13" s="11">
        <f>IF(F13="","",IF(G13&lt;0,"Em dia",IF(G13&lt;=15,"Chamar agora",IF(G13&lt;=60,"Sumida","Reativar"))))</f>
        <v/>
      </c>
      <c r="I13" s="12" t="n"/>
      <c r="J13" s="8">
        <f>IF(I13="","",MONTH(I13))</f>
        <v/>
      </c>
      <c r="K13" s="5" t="n"/>
      <c r="M13" s="2" t="inlineStr">
        <is>
          <t>Dica: use Dados &gt; Filtro na linha 4 para ver só 'Chamar agora'.</t>
        </is>
      </c>
    </row>
    <row r="14">
      <c r="A14" s="5" t="n"/>
      <c r="B14" s="5" t="n"/>
      <c r="C14" s="5" t="n"/>
      <c r="D14" s="7" t="n"/>
      <c r="E14" s="8">
        <f>IF(C14="","",IFERROR(VLOOKUP(C14,Ciclos!$A$5:$B$29,2,FALSE),""))</f>
        <v/>
      </c>
      <c r="F14" s="9">
        <f>IF(OR(D14="",E14=""),"",D14+E14)</f>
        <v/>
      </c>
      <c r="G14" s="10">
        <f>IF(F14="","",TODAY()-F14)</f>
        <v/>
      </c>
      <c r="H14" s="11">
        <f>IF(F14="","",IF(G14&lt;0,"Em dia",IF(G14&lt;=15,"Chamar agora",IF(G14&lt;=60,"Sumida","Reativar"))))</f>
        <v/>
      </c>
      <c r="I14" s="12" t="n"/>
      <c r="J14" s="8">
        <f>IF(I14="","",MONTH(I14))</f>
        <v/>
      </c>
      <c r="K14" s="5" t="n"/>
    </row>
    <row r="15">
      <c r="A15" s="5" t="n"/>
      <c r="B15" s="5" t="n"/>
      <c r="C15" s="5" t="n"/>
      <c r="D15" s="7" t="n"/>
      <c r="E15" s="8">
        <f>IF(C15="","",IFERROR(VLOOKUP(C15,Ciclos!$A$5:$B$29,2,FALSE),""))</f>
        <v/>
      </c>
      <c r="F15" s="9">
        <f>IF(OR(D15="",E15=""),"",D15+E15)</f>
        <v/>
      </c>
      <c r="G15" s="10">
        <f>IF(F15="","",TODAY()-F15)</f>
        <v/>
      </c>
      <c r="H15" s="11">
        <f>IF(F15="","",IF(G15&lt;0,"Em dia",IF(G15&lt;=15,"Chamar agora",IF(G15&lt;=60,"Sumida","Reativar"))))</f>
        <v/>
      </c>
      <c r="I15" s="12" t="n"/>
      <c r="J15" s="8">
        <f>IF(I15="","",MONTH(I15))</f>
        <v/>
      </c>
      <c r="K15" s="5" t="n"/>
    </row>
    <row r="16">
      <c r="A16" s="5" t="n"/>
      <c r="B16" s="5" t="n"/>
      <c r="C16" s="5" t="n"/>
      <c r="D16" s="7" t="n"/>
      <c r="E16" s="8">
        <f>IF(C16="","",IFERROR(VLOOKUP(C16,Ciclos!$A$5:$B$29,2,FALSE),""))</f>
        <v/>
      </c>
      <c r="F16" s="9">
        <f>IF(OR(D16="",E16=""),"",D16+E16)</f>
        <v/>
      </c>
      <c r="G16" s="10">
        <f>IF(F16="","",TODAY()-F16)</f>
        <v/>
      </c>
      <c r="H16" s="11">
        <f>IF(F16="","",IF(G16&lt;0,"Em dia",IF(G16&lt;=15,"Chamar agora",IF(G16&lt;=60,"Sumida","Reativar"))))</f>
        <v/>
      </c>
      <c r="I16" s="12" t="n"/>
      <c r="J16" s="8">
        <f>IF(I16="","",MONTH(I16))</f>
        <v/>
      </c>
      <c r="K16" s="5" t="n"/>
    </row>
    <row r="17">
      <c r="A17" s="5" t="n"/>
      <c r="B17" s="5" t="n"/>
      <c r="C17" s="5" t="n"/>
      <c r="D17" s="7" t="n"/>
      <c r="E17" s="8">
        <f>IF(C17="","",IFERROR(VLOOKUP(C17,Ciclos!$A$5:$B$29,2,FALSE),""))</f>
        <v/>
      </c>
      <c r="F17" s="9">
        <f>IF(OR(D17="",E17=""),"",D17+E17)</f>
        <v/>
      </c>
      <c r="G17" s="10">
        <f>IF(F17="","",TODAY()-F17)</f>
        <v/>
      </c>
      <c r="H17" s="11">
        <f>IF(F17="","",IF(G17&lt;0,"Em dia",IF(G17&lt;=15,"Chamar agora",IF(G17&lt;=60,"Sumida","Reativar"))))</f>
        <v/>
      </c>
      <c r="I17" s="12" t="n"/>
      <c r="J17" s="8">
        <f>IF(I17="","",MONTH(I17))</f>
        <v/>
      </c>
      <c r="K17" s="5" t="n"/>
    </row>
    <row r="18">
      <c r="A18" s="5" t="n"/>
      <c r="B18" s="5" t="n"/>
      <c r="C18" s="5" t="n"/>
      <c r="D18" s="7" t="n"/>
      <c r="E18" s="8">
        <f>IF(C18="","",IFERROR(VLOOKUP(C18,Ciclos!$A$5:$B$29,2,FALSE),""))</f>
        <v/>
      </c>
      <c r="F18" s="9">
        <f>IF(OR(D18="",E18=""),"",D18+E18)</f>
        <v/>
      </c>
      <c r="G18" s="10">
        <f>IF(F18="","",TODAY()-F18)</f>
        <v/>
      </c>
      <c r="H18" s="11">
        <f>IF(F18="","",IF(G18&lt;0,"Em dia",IF(G18&lt;=15,"Chamar agora",IF(G18&lt;=60,"Sumida","Reativar"))))</f>
        <v/>
      </c>
      <c r="I18" s="12" t="n"/>
      <c r="J18" s="8">
        <f>IF(I18="","",MONTH(I18))</f>
        <v/>
      </c>
      <c r="K18" s="5" t="n"/>
    </row>
    <row r="19">
      <c r="A19" s="5" t="n"/>
      <c r="B19" s="5" t="n"/>
      <c r="C19" s="5" t="n"/>
      <c r="D19" s="7" t="n"/>
      <c r="E19" s="8">
        <f>IF(C19="","",IFERROR(VLOOKUP(C19,Ciclos!$A$5:$B$29,2,FALSE),""))</f>
        <v/>
      </c>
      <c r="F19" s="9">
        <f>IF(OR(D19="",E19=""),"",D19+E19)</f>
        <v/>
      </c>
      <c r="G19" s="10">
        <f>IF(F19="","",TODAY()-F19)</f>
        <v/>
      </c>
      <c r="H19" s="11">
        <f>IF(F19="","",IF(G19&lt;0,"Em dia",IF(G19&lt;=15,"Chamar agora",IF(G19&lt;=60,"Sumida","Reativar"))))</f>
        <v/>
      </c>
      <c r="I19" s="12" t="n"/>
      <c r="J19" s="8">
        <f>IF(I19="","",MONTH(I19))</f>
        <v/>
      </c>
      <c r="K19" s="5" t="n"/>
    </row>
    <row r="20">
      <c r="A20" s="5" t="n"/>
      <c r="B20" s="5" t="n"/>
      <c r="C20" s="5" t="n"/>
      <c r="D20" s="7" t="n"/>
      <c r="E20" s="8">
        <f>IF(C20="","",IFERROR(VLOOKUP(C20,Ciclos!$A$5:$B$29,2,FALSE),""))</f>
        <v/>
      </c>
      <c r="F20" s="9">
        <f>IF(OR(D20="",E20=""),"",D20+E20)</f>
        <v/>
      </c>
      <c r="G20" s="10">
        <f>IF(F20="","",TODAY()-F20)</f>
        <v/>
      </c>
      <c r="H20" s="11">
        <f>IF(F20="","",IF(G20&lt;0,"Em dia",IF(G20&lt;=15,"Chamar agora",IF(G20&lt;=60,"Sumida","Reativar"))))</f>
        <v/>
      </c>
      <c r="I20" s="12" t="n"/>
      <c r="J20" s="8">
        <f>IF(I20="","",MONTH(I20))</f>
        <v/>
      </c>
      <c r="K20" s="5" t="n"/>
    </row>
    <row r="21">
      <c r="A21" s="5" t="n"/>
      <c r="B21" s="5" t="n"/>
      <c r="C21" s="5" t="n"/>
      <c r="D21" s="7" t="n"/>
      <c r="E21" s="8">
        <f>IF(C21="","",IFERROR(VLOOKUP(C21,Ciclos!$A$5:$B$29,2,FALSE),""))</f>
        <v/>
      </c>
      <c r="F21" s="9">
        <f>IF(OR(D21="",E21=""),"",D21+E21)</f>
        <v/>
      </c>
      <c r="G21" s="10">
        <f>IF(F21="","",TODAY()-F21)</f>
        <v/>
      </c>
      <c r="H21" s="11">
        <f>IF(F21="","",IF(G21&lt;0,"Em dia",IF(G21&lt;=15,"Chamar agora",IF(G21&lt;=60,"Sumida","Reativar"))))</f>
        <v/>
      </c>
      <c r="I21" s="12" t="n"/>
      <c r="J21" s="8">
        <f>IF(I21="","",MONTH(I21))</f>
        <v/>
      </c>
      <c r="K21" s="5" t="n"/>
    </row>
    <row r="22">
      <c r="A22" s="5" t="n"/>
      <c r="B22" s="5" t="n"/>
      <c r="C22" s="5" t="n"/>
      <c r="D22" s="7" t="n"/>
      <c r="E22" s="8">
        <f>IF(C22="","",IFERROR(VLOOKUP(C22,Ciclos!$A$5:$B$29,2,FALSE),""))</f>
        <v/>
      </c>
      <c r="F22" s="9">
        <f>IF(OR(D22="",E22=""),"",D22+E22)</f>
        <v/>
      </c>
      <c r="G22" s="10">
        <f>IF(F22="","",TODAY()-F22)</f>
        <v/>
      </c>
      <c r="H22" s="11">
        <f>IF(F22="","",IF(G22&lt;0,"Em dia",IF(G22&lt;=15,"Chamar agora",IF(G22&lt;=60,"Sumida","Reativar"))))</f>
        <v/>
      </c>
      <c r="I22" s="12" t="n"/>
      <c r="J22" s="8">
        <f>IF(I22="","",MONTH(I22))</f>
        <v/>
      </c>
      <c r="K22" s="5" t="n"/>
    </row>
    <row r="23">
      <c r="A23" s="5" t="n"/>
      <c r="B23" s="5" t="n"/>
      <c r="C23" s="5" t="n"/>
      <c r="D23" s="7" t="n"/>
      <c r="E23" s="8">
        <f>IF(C23="","",IFERROR(VLOOKUP(C23,Ciclos!$A$5:$B$29,2,FALSE),""))</f>
        <v/>
      </c>
      <c r="F23" s="9">
        <f>IF(OR(D23="",E23=""),"",D23+E23)</f>
        <v/>
      </c>
      <c r="G23" s="10">
        <f>IF(F23="","",TODAY()-F23)</f>
        <v/>
      </c>
      <c r="H23" s="11">
        <f>IF(F23="","",IF(G23&lt;0,"Em dia",IF(G23&lt;=15,"Chamar agora",IF(G23&lt;=60,"Sumida","Reativar"))))</f>
        <v/>
      </c>
      <c r="I23" s="12" t="n"/>
      <c r="J23" s="8">
        <f>IF(I23="","",MONTH(I23))</f>
        <v/>
      </c>
      <c r="K23" s="5" t="n"/>
    </row>
    <row r="24">
      <c r="A24" s="5" t="n"/>
      <c r="B24" s="5" t="n"/>
      <c r="C24" s="5" t="n"/>
      <c r="D24" s="7" t="n"/>
      <c r="E24" s="8">
        <f>IF(C24="","",IFERROR(VLOOKUP(C24,Ciclos!$A$5:$B$29,2,FALSE),""))</f>
        <v/>
      </c>
      <c r="F24" s="9">
        <f>IF(OR(D24="",E24=""),"",D24+E24)</f>
        <v/>
      </c>
      <c r="G24" s="10">
        <f>IF(F24="","",TODAY()-F24)</f>
        <v/>
      </c>
      <c r="H24" s="11">
        <f>IF(F24="","",IF(G24&lt;0,"Em dia",IF(G24&lt;=15,"Chamar agora",IF(G24&lt;=60,"Sumida","Reativar"))))</f>
        <v/>
      </c>
      <c r="I24" s="12" t="n"/>
      <c r="J24" s="8">
        <f>IF(I24="","",MONTH(I24))</f>
        <v/>
      </c>
      <c r="K24" s="5" t="n"/>
    </row>
    <row r="25">
      <c r="A25" s="5" t="n"/>
      <c r="B25" s="5" t="n"/>
      <c r="C25" s="5" t="n"/>
      <c r="D25" s="7" t="n"/>
      <c r="E25" s="8">
        <f>IF(C25="","",IFERROR(VLOOKUP(C25,Ciclos!$A$5:$B$29,2,FALSE),""))</f>
        <v/>
      </c>
      <c r="F25" s="9">
        <f>IF(OR(D25="",E25=""),"",D25+E25)</f>
        <v/>
      </c>
      <c r="G25" s="10">
        <f>IF(F25="","",TODAY()-F25)</f>
        <v/>
      </c>
      <c r="H25" s="11">
        <f>IF(F25="","",IF(G25&lt;0,"Em dia",IF(G25&lt;=15,"Chamar agora",IF(G25&lt;=60,"Sumida","Reativar"))))</f>
        <v/>
      </c>
      <c r="I25" s="12" t="n"/>
      <c r="J25" s="8">
        <f>IF(I25="","",MONTH(I25))</f>
        <v/>
      </c>
      <c r="K25" s="5" t="n"/>
    </row>
    <row r="26">
      <c r="A26" s="5" t="n"/>
      <c r="B26" s="5" t="n"/>
      <c r="C26" s="5" t="n"/>
      <c r="D26" s="7" t="n"/>
      <c r="E26" s="8">
        <f>IF(C26="","",IFERROR(VLOOKUP(C26,Ciclos!$A$5:$B$29,2,FALSE),""))</f>
        <v/>
      </c>
      <c r="F26" s="9">
        <f>IF(OR(D26="",E26=""),"",D26+E26)</f>
        <v/>
      </c>
      <c r="G26" s="10">
        <f>IF(F26="","",TODAY()-F26)</f>
        <v/>
      </c>
      <c r="H26" s="11">
        <f>IF(F26="","",IF(G26&lt;0,"Em dia",IF(G26&lt;=15,"Chamar agora",IF(G26&lt;=60,"Sumida","Reativar"))))</f>
        <v/>
      </c>
      <c r="I26" s="12" t="n"/>
      <c r="J26" s="8">
        <f>IF(I26="","",MONTH(I26))</f>
        <v/>
      </c>
      <c r="K26" s="5" t="n"/>
    </row>
    <row r="27">
      <c r="A27" s="5" t="n"/>
      <c r="B27" s="5" t="n"/>
      <c r="C27" s="5" t="n"/>
      <c r="D27" s="7" t="n"/>
      <c r="E27" s="8">
        <f>IF(C27="","",IFERROR(VLOOKUP(C27,Ciclos!$A$5:$B$29,2,FALSE),""))</f>
        <v/>
      </c>
      <c r="F27" s="9">
        <f>IF(OR(D27="",E27=""),"",D27+E27)</f>
        <v/>
      </c>
      <c r="G27" s="10">
        <f>IF(F27="","",TODAY()-F27)</f>
        <v/>
      </c>
      <c r="H27" s="11">
        <f>IF(F27="","",IF(G27&lt;0,"Em dia",IF(G27&lt;=15,"Chamar agora",IF(G27&lt;=60,"Sumida","Reativar"))))</f>
        <v/>
      </c>
      <c r="I27" s="12" t="n"/>
      <c r="J27" s="8">
        <f>IF(I27="","",MONTH(I27))</f>
        <v/>
      </c>
      <c r="K27" s="5" t="n"/>
    </row>
    <row r="28">
      <c r="A28" s="5" t="n"/>
      <c r="B28" s="5" t="n"/>
      <c r="C28" s="5" t="n"/>
      <c r="D28" s="7" t="n"/>
      <c r="E28" s="8">
        <f>IF(C28="","",IFERROR(VLOOKUP(C28,Ciclos!$A$5:$B$29,2,FALSE),""))</f>
        <v/>
      </c>
      <c r="F28" s="9">
        <f>IF(OR(D28="",E28=""),"",D28+E28)</f>
        <v/>
      </c>
      <c r="G28" s="10">
        <f>IF(F28="","",TODAY()-F28)</f>
        <v/>
      </c>
      <c r="H28" s="11">
        <f>IF(F28="","",IF(G28&lt;0,"Em dia",IF(G28&lt;=15,"Chamar agora",IF(G28&lt;=60,"Sumida","Reativar"))))</f>
        <v/>
      </c>
      <c r="I28" s="12" t="n"/>
      <c r="J28" s="8">
        <f>IF(I28="","",MONTH(I28))</f>
        <v/>
      </c>
      <c r="K28" s="5" t="n"/>
    </row>
    <row r="29">
      <c r="A29" s="5" t="n"/>
      <c r="B29" s="5" t="n"/>
      <c r="C29" s="5" t="n"/>
      <c r="D29" s="7" t="n"/>
      <c r="E29" s="8">
        <f>IF(C29="","",IFERROR(VLOOKUP(C29,Ciclos!$A$5:$B$29,2,FALSE),""))</f>
        <v/>
      </c>
      <c r="F29" s="9">
        <f>IF(OR(D29="",E29=""),"",D29+E29)</f>
        <v/>
      </c>
      <c r="G29" s="10">
        <f>IF(F29="","",TODAY()-F29)</f>
        <v/>
      </c>
      <c r="H29" s="11">
        <f>IF(F29="","",IF(G29&lt;0,"Em dia",IF(G29&lt;=15,"Chamar agora",IF(G29&lt;=60,"Sumida","Reativar"))))</f>
        <v/>
      </c>
      <c r="I29" s="12" t="n"/>
      <c r="J29" s="8">
        <f>IF(I29="","",MONTH(I29))</f>
        <v/>
      </c>
      <c r="K29" s="5" t="n"/>
    </row>
    <row r="30">
      <c r="A30" s="5" t="n"/>
      <c r="B30" s="5" t="n"/>
      <c r="C30" s="5" t="n"/>
      <c r="D30" s="7" t="n"/>
      <c r="E30" s="8">
        <f>IF(C30="","",IFERROR(VLOOKUP(C30,Ciclos!$A$5:$B$29,2,FALSE),""))</f>
        <v/>
      </c>
      <c r="F30" s="9">
        <f>IF(OR(D30="",E30=""),"",D30+E30)</f>
        <v/>
      </c>
      <c r="G30" s="10">
        <f>IF(F30="","",TODAY()-F30)</f>
        <v/>
      </c>
      <c r="H30" s="11">
        <f>IF(F30="","",IF(G30&lt;0,"Em dia",IF(G30&lt;=15,"Chamar agora",IF(G30&lt;=60,"Sumida","Reativar"))))</f>
        <v/>
      </c>
      <c r="I30" s="12" t="n"/>
      <c r="J30" s="8">
        <f>IF(I30="","",MONTH(I30))</f>
        <v/>
      </c>
      <c r="K30" s="5" t="n"/>
    </row>
    <row r="31">
      <c r="A31" s="5" t="n"/>
      <c r="B31" s="5" t="n"/>
      <c r="C31" s="5" t="n"/>
      <c r="D31" s="7" t="n"/>
      <c r="E31" s="8">
        <f>IF(C31="","",IFERROR(VLOOKUP(C31,Ciclos!$A$5:$B$29,2,FALSE),""))</f>
        <v/>
      </c>
      <c r="F31" s="9">
        <f>IF(OR(D31="",E31=""),"",D31+E31)</f>
        <v/>
      </c>
      <c r="G31" s="10">
        <f>IF(F31="","",TODAY()-F31)</f>
        <v/>
      </c>
      <c r="H31" s="11">
        <f>IF(F31="","",IF(G31&lt;0,"Em dia",IF(G31&lt;=15,"Chamar agora",IF(G31&lt;=60,"Sumida","Reativar"))))</f>
        <v/>
      </c>
      <c r="I31" s="12" t="n"/>
      <c r="J31" s="8">
        <f>IF(I31="","",MONTH(I31))</f>
        <v/>
      </c>
      <c r="K31" s="5" t="n"/>
    </row>
    <row r="32">
      <c r="A32" s="5" t="n"/>
      <c r="B32" s="5" t="n"/>
      <c r="C32" s="5" t="n"/>
      <c r="D32" s="7" t="n"/>
      <c r="E32" s="8">
        <f>IF(C32="","",IFERROR(VLOOKUP(C32,Ciclos!$A$5:$B$29,2,FALSE),""))</f>
        <v/>
      </c>
      <c r="F32" s="9">
        <f>IF(OR(D32="",E32=""),"",D32+E32)</f>
        <v/>
      </c>
      <c r="G32" s="10">
        <f>IF(F32="","",TODAY()-F32)</f>
        <v/>
      </c>
      <c r="H32" s="11">
        <f>IF(F32="","",IF(G32&lt;0,"Em dia",IF(G32&lt;=15,"Chamar agora",IF(G32&lt;=60,"Sumida","Reativar"))))</f>
        <v/>
      </c>
      <c r="I32" s="12" t="n"/>
      <c r="J32" s="8">
        <f>IF(I32="","",MONTH(I32))</f>
        <v/>
      </c>
      <c r="K32" s="5" t="n"/>
    </row>
    <row r="33">
      <c r="A33" s="5" t="n"/>
      <c r="B33" s="5" t="n"/>
      <c r="C33" s="5" t="n"/>
      <c r="D33" s="7" t="n"/>
      <c r="E33" s="8">
        <f>IF(C33="","",IFERROR(VLOOKUP(C33,Ciclos!$A$5:$B$29,2,FALSE),""))</f>
        <v/>
      </c>
      <c r="F33" s="9">
        <f>IF(OR(D33="",E33=""),"",D33+E33)</f>
        <v/>
      </c>
      <c r="G33" s="10">
        <f>IF(F33="","",TODAY()-F33)</f>
        <v/>
      </c>
      <c r="H33" s="11">
        <f>IF(F33="","",IF(G33&lt;0,"Em dia",IF(G33&lt;=15,"Chamar agora",IF(G33&lt;=60,"Sumida","Reativar"))))</f>
        <v/>
      </c>
      <c r="I33" s="12" t="n"/>
      <c r="J33" s="8">
        <f>IF(I33="","",MONTH(I33))</f>
        <v/>
      </c>
      <c r="K33" s="5" t="n"/>
    </row>
    <row r="34">
      <c r="A34" s="5" t="n"/>
      <c r="B34" s="5" t="n"/>
      <c r="C34" s="5" t="n"/>
      <c r="D34" s="7" t="n"/>
      <c r="E34" s="8">
        <f>IF(C34="","",IFERROR(VLOOKUP(C34,Ciclos!$A$5:$B$29,2,FALSE),""))</f>
        <v/>
      </c>
      <c r="F34" s="9">
        <f>IF(OR(D34="",E34=""),"",D34+E34)</f>
        <v/>
      </c>
      <c r="G34" s="10">
        <f>IF(F34="","",TODAY()-F34)</f>
        <v/>
      </c>
      <c r="H34" s="11">
        <f>IF(F34="","",IF(G34&lt;0,"Em dia",IF(G34&lt;=15,"Chamar agora",IF(G34&lt;=60,"Sumida","Reativar"))))</f>
        <v/>
      </c>
      <c r="I34" s="12" t="n"/>
      <c r="J34" s="8">
        <f>IF(I34="","",MONTH(I34))</f>
        <v/>
      </c>
      <c r="K34" s="5" t="n"/>
    </row>
    <row r="35">
      <c r="A35" s="5" t="n"/>
      <c r="B35" s="5" t="n"/>
      <c r="C35" s="5" t="n"/>
      <c r="D35" s="7" t="n"/>
      <c r="E35" s="8">
        <f>IF(C35="","",IFERROR(VLOOKUP(C35,Ciclos!$A$5:$B$29,2,FALSE),""))</f>
        <v/>
      </c>
      <c r="F35" s="9">
        <f>IF(OR(D35="",E35=""),"",D35+E35)</f>
        <v/>
      </c>
      <c r="G35" s="10">
        <f>IF(F35="","",TODAY()-F35)</f>
        <v/>
      </c>
      <c r="H35" s="11">
        <f>IF(F35="","",IF(G35&lt;0,"Em dia",IF(G35&lt;=15,"Chamar agora",IF(G35&lt;=60,"Sumida","Reativar"))))</f>
        <v/>
      </c>
      <c r="I35" s="12" t="n"/>
      <c r="J35" s="8">
        <f>IF(I35="","",MONTH(I35))</f>
        <v/>
      </c>
      <c r="K35" s="5" t="n"/>
    </row>
    <row r="36">
      <c r="A36" s="5" t="n"/>
      <c r="B36" s="5" t="n"/>
      <c r="C36" s="5" t="n"/>
      <c r="D36" s="7" t="n"/>
      <c r="E36" s="8">
        <f>IF(C36="","",IFERROR(VLOOKUP(C36,Ciclos!$A$5:$B$29,2,FALSE),""))</f>
        <v/>
      </c>
      <c r="F36" s="9">
        <f>IF(OR(D36="",E36=""),"",D36+E36)</f>
        <v/>
      </c>
      <c r="G36" s="10">
        <f>IF(F36="","",TODAY()-F36)</f>
        <v/>
      </c>
      <c r="H36" s="11">
        <f>IF(F36="","",IF(G36&lt;0,"Em dia",IF(G36&lt;=15,"Chamar agora",IF(G36&lt;=60,"Sumida","Reativar"))))</f>
        <v/>
      </c>
      <c r="I36" s="12" t="n"/>
      <c r="J36" s="8">
        <f>IF(I36="","",MONTH(I36))</f>
        <v/>
      </c>
      <c r="K36" s="5" t="n"/>
    </row>
    <row r="37">
      <c r="A37" s="5" t="n"/>
      <c r="B37" s="5" t="n"/>
      <c r="C37" s="5" t="n"/>
      <c r="D37" s="7" t="n"/>
      <c r="E37" s="8">
        <f>IF(C37="","",IFERROR(VLOOKUP(C37,Ciclos!$A$5:$B$29,2,FALSE),""))</f>
        <v/>
      </c>
      <c r="F37" s="9">
        <f>IF(OR(D37="",E37=""),"",D37+E37)</f>
        <v/>
      </c>
      <c r="G37" s="10">
        <f>IF(F37="","",TODAY()-F37)</f>
        <v/>
      </c>
      <c r="H37" s="11">
        <f>IF(F37="","",IF(G37&lt;0,"Em dia",IF(G37&lt;=15,"Chamar agora",IF(G37&lt;=60,"Sumida","Reativar"))))</f>
        <v/>
      </c>
      <c r="I37" s="12" t="n"/>
      <c r="J37" s="8">
        <f>IF(I37="","",MONTH(I37))</f>
        <v/>
      </c>
      <c r="K37" s="5" t="n"/>
    </row>
    <row r="38">
      <c r="A38" s="5" t="n"/>
      <c r="B38" s="5" t="n"/>
      <c r="C38" s="5" t="n"/>
      <c r="D38" s="7" t="n"/>
      <c r="E38" s="8">
        <f>IF(C38="","",IFERROR(VLOOKUP(C38,Ciclos!$A$5:$B$29,2,FALSE),""))</f>
        <v/>
      </c>
      <c r="F38" s="9">
        <f>IF(OR(D38="",E38=""),"",D38+E38)</f>
        <v/>
      </c>
      <c r="G38" s="10">
        <f>IF(F38="","",TODAY()-F38)</f>
        <v/>
      </c>
      <c r="H38" s="11">
        <f>IF(F38="","",IF(G38&lt;0,"Em dia",IF(G38&lt;=15,"Chamar agora",IF(G38&lt;=60,"Sumida","Reativar"))))</f>
        <v/>
      </c>
      <c r="I38" s="12" t="n"/>
      <c r="J38" s="8">
        <f>IF(I38="","",MONTH(I38))</f>
        <v/>
      </c>
      <c r="K38" s="5" t="n"/>
    </row>
    <row r="39">
      <c r="A39" s="5" t="n"/>
      <c r="B39" s="5" t="n"/>
      <c r="C39" s="5" t="n"/>
      <c r="D39" s="7" t="n"/>
      <c r="E39" s="8">
        <f>IF(C39="","",IFERROR(VLOOKUP(C39,Ciclos!$A$5:$B$29,2,FALSE),""))</f>
        <v/>
      </c>
      <c r="F39" s="9">
        <f>IF(OR(D39="",E39=""),"",D39+E39)</f>
        <v/>
      </c>
      <c r="G39" s="10">
        <f>IF(F39="","",TODAY()-F39)</f>
        <v/>
      </c>
      <c r="H39" s="11">
        <f>IF(F39="","",IF(G39&lt;0,"Em dia",IF(G39&lt;=15,"Chamar agora",IF(G39&lt;=60,"Sumida","Reativar"))))</f>
        <v/>
      </c>
      <c r="I39" s="12" t="n"/>
      <c r="J39" s="8">
        <f>IF(I39="","",MONTH(I39))</f>
        <v/>
      </c>
      <c r="K39" s="5" t="n"/>
    </row>
    <row r="40">
      <c r="A40" s="5" t="n"/>
      <c r="B40" s="5" t="n"/>
      <c r="C40" s="5" t="n"/>
      <c r="D40" s="7" t="n"/>
      <c r="E40" s="8">
        <f>IF(C40="","",IFERROR(VLOOKUP(C40,Ciclos!$A$5:$B$29,2,FALSE),""))</f>
        <v/>
      </c>
      <c r="F40" s="9">
        <f>IF(OR(D40="",E40=""),"",D40+E40)</f>
        <v/>
      </c>
      <c r="G40" s="10">
        <f>IF(F40="","",TODAY()-F40)</f>
        <v/>
      </c>
      <c r="H40" s="11">
        <f>IF(F40="","",IF(G40&lt;0,"Em dia",IF(G40&lt;=15,"Chamar agora",IF(G40&lt;=60,"Sumida","Reativar"))))</f>
        <v/>
      </c>
      <c r="I40" s="12" t="n"/>
      <c r="J40" s="8">
        <f>IF(I40="","",MONTH(I40))</f>
        <v/>
      </c>
      <c r="K40" s="5" t="n"/>
    </row>
    <row r="41">
      <c r="A41" s="5" t="n"/>
      <c r="B41" s="5" t="n"/>
      <c r="C41" s="5" t="n"/>
      <c r="D41" s="7" t="n"/>
      <c r="E41" s="8">
        <f>IF(C41="","",IFERROR(VLOOKUP(C41,Ciclos!$A$5:$B$29,2,FALSE),""))</f>
        <v/>
      </c>
      <c r="F41" s="9">
        <f>IF(OR(D41="",E41=""),"",D41+E41)</f>
        <v/>
      </c>
      <c r="G41" s="10">
        <f>IF(F41="","",TODAY()-F41)</f>
        <v/>
      </c>
      <c r="H41" s="11">
        <f>IF(F41="","",IF(G41&lt;0,"Em dia",IF(G41&lt;=15,"Chamar agora",IF(G41&lt;=60,"Sumida","Reativar"))))</f>
        <v/>
      </c>
      <c r="I41" s="12" t="n"/>
      <c r="J41" s="8">
        <f>IF(I41="","",MONTH(I41))</f>
        <v/>
      </c>
      <c r="K41" s="5" t="n"/>
    </row>
    <row r="42">
      <c r="A42" s="5" t="n"/>
      <c r="B42" s="5" t="n"/>
      <c r="C42" s="5" t="n"/>
      <c r="D42" s="7" t="n"/>
      <c r="E42" s="8">
        <f>IF(C42="","",IFERROR(VLOOKUP(C42,Ciclos!$A$5:$B$29,2,FALSE),""))</f>
        <v/>
      </c>
      <c r="F42" s="9">
        <f>IF(OR(D42="",E42=""),"",D42+E42)</f>
        <v/>
      </c>
      <c r="G42" s="10">
        <f>IF(F42="","",TODAY()-F42)</f>
        <v/>
      </c>
      <c r="H42" s="11">
        <f>IF(F42="","",IF(G42&lt;0,"Em dia",IF(G42&lt;=15,"Chamar agora",IF(G42&lt;=60,"Sumida","Reativar"))))</f>
        <v/>
      </c>
      <c r="I42" s="12" t="n"/>
      <c r="J42" s="8">
        <f>IF(I42="","",MONTH(I42))</f>
        <v/>
      </c>
      <c r="K42" s="5" t="n"/>
    </row>
    <row r="43">
      <c r="A43" s="5" t="n"/>
      <c r="B43" s="5" t="n"/>
      <c r="C43" s="5" t="n"/>
      <c r="D43" s="7" t="n"/>
      <c r="E43" s="8">
        <f>IF(C43="","",IFERROR(VLOOKUP(C43,Ciclos!$A$5:$B$29,2,FALSE),""))</f>
        <v/>
      </c>
      <c r="F43" s="9">
        <f>IF(OR(D43="",E43=""),"",D43+E43)</f>
        <v/>
      </c>
      <c r="G43" s="10">
        <f>IF(F43="","",TODAY()-F43)</f>
        <v/>
      </c>
      <c r="H43" s="11">
        <f>IF(F43="","",IF(G43&lt;0,"Em dia",IF(G43&lt;=15,"Chamar agora",IF(G43&lt;=60,"Sumida","Reativar"))))</f>
        <v/>
      </c>
      <c r="I43" s="12" t="n"/>
      <c r="J43" s="8">
        <f>IF(I43="","",MONTH(I43))</f>
        <v/>
      </c>
      <c r="K43" s="5" t="n"/>
    </row>
    <row r="44">
      <c r="A44" s="5" t="n"/>
      <c r="B44" s="5" t="n"/>
      <c r="C44" s="5" t="n"/>
      <c r="D44" s="7" t="n"/>
      <c r="E44" s="8">
        <f>IF(C44="","",IFERROR(VLOOKUP(C44,Ciclos!$A$5:$B$29,2,FALSE),""))</f>
        <v/>
      </c>
      <c r="F44" s="9">
        <f>IF(OR(D44="",E44=""),"",D44+E44)</f>
        <v/>
      </c>
      <c r="G44" s="10">
        <f>IF(F44="","",TODAY()-F44)</f>
        <v/>
      </c>
      <c r="H44" s="11">
        <f>IF(F44="","",IF(G44&lt;0,"Em dia",IF(G44&lt;=15,"Chamar agora",IF(G44&lt;=60,"Sumida","Reativar"))))</f>
        <v/>
      </c>
      <c r="I44" s="12" t="n"/>
      <c r="J44" s="8">
        <f>IF(I44="","",MONTH(I44))</f>
        <v/>
      </c>
      <c r="K44" s="5" t="n"/>
    </row>
    <row r="45">
      <c r="A45" s="5" t="n"/>
      <c r="B45" s="5" t="n"/>
      <c r="C45" s="5" t="n"/>
      <c r="D45" s="7" t="n"/>
      <c r="E45" s="8">
        <f>IF(C45="","",IFERROR(VLOOKUP(C45,Ciclos!$A$5:$B$29,2,FALSE),""))</f>
        <v/>
      </c>
      <c r="F45" s="9">
        <f>IF(OR(D45="",E45=""),"",D45+E45)</f>
        <v/>
      </c>
      <c r="G45" s="10">
        <f>IF(F45="","",TODAY()-F45)</f>
        <v/>
      </c>
      <c r="H45" s="11">
        <f>IF(F45="","",IF(G45&lt;0,"Em dia",IF(G45&lt;=15,"Chamar agora",IF(G45&lt;=60,"Sumida","Reativar"))))</f>
        <v/>
      </c>
      <c r="I45" s="12" t="n"/>
      <c r="J45" s="8">
        <f>IF(I45="","",MONTH(I45))</f>
        <v/>
      </c>
      <c r="K45" s="5" t="n"/>
    </row>
    <row r="46">
      <c r="A46" s="5" t="n"/>
      <c r="B46" s="5" t="n"/>
      <c r="C46" s="5" t="n"/>
      <c r="D46" s="7" t="n"/>
      <c r="E46" s="8">
        <f>IF(C46="","",IFERROR(VLOOKUP(C46,Ciclos!$A$5:$B$29,2,FALSE),""))</f>
        <v/>
      </c>
      <c r="F46" s="9">
        <f>IF(OR(D46="",E46=""),"",D46+E46)</f>
        <v/>
      </c>
      <c r="G46" s="10">
        <f>IF(F46="","",TODAY()-F46)</f>
        <v/>
      </c>
      <c r="H46" s="11">
        <f>IF(F46="","",IF(G46&lt;0,"Em dia",IF(G46&lt;=15,"Chamar agora",IF(G46&lt;=60,"Sumida","Reativar"))))</f>
        <v/>
      </c>
      <c r="I46" s="12" t="n"/>
      <c r="J46" s="8">
        <f>IF(I46="","",MONTH(I46))</f>
        <v/>
      </c>
      <c r="K46" s="5" t="n"/>
    </row>
    <row r="47">
      <c r="A47" s="5" t="n"/>
      <c r="B47" s="5" t="n"/>
      <c r="C47" s="5" t="n"/>
      <c r="D47" s="7" t="n"/>
      <c r="E47" s="8">
        <f>IF(C47="","",IFERROR(VLOOKUP(C47,Ciclos!$A$5:$B$29,2,FALSE),""))</f>
        <v/>
      </c>
      <c r="F47" s="9">
        <f>IF(OR(D47="",E47=""),"",D47+E47)</f>
        <v/>
      </c>
      <c r="G47" s="10">
        <f>IF(F47="","",TODAY()-F47)</f>
        <v/>
      </c>
      <c r="H47" s="11">
        <f>IF(F47="","",IF(G47&lt;0,"Em dia",IF(G47&lt;=15,"Chamar agora",IF(G47&lt;=60,"Sumida","Reativar"))))</f>
        <v/>
      </c>
      <c r="I47" s="12" t="n"/>
      <c r="J47" s="8">
        <f>IF(I47="","",MONTH(I47))</f>
        <v/>
      </c>
      <c r="K47" s="5" t="n"/>
    </row>
    <row r="48">
      <c r="A48" s="5" t="n"/>
      <c r="B48" s="5" t="n"/>
      <c r="C48" s="5" t="n"/>
      <c r="D48" s="7" t="n"/>
      <c r="E48" s="8">
        <f>IF(C48="","",IFERROR(VLOOKUP(C48,Ciclos!$A$5:$B$29,2,FALSE),""))</f>
        <v/>
      </c>
      <c r="F48" s="9">
        <f>IF(OR(D48="",E48=""),"",D48+E48)</f>
        <v/>
      </c>
      <c r="G48" s="10">
        <f>IF(F48="","",TODAY()-F48)</f>
        <v/>
      </c>
      <c r="H48" s="11">
        <f>IF(F48="","",IF(G48&lt;0,"Em dia",IF(G48&lt;=15,"Chamar agora",IF(G48&lt;=60,"Sumida","Reativar"))))</f>
        <v/>
      </c>
      <c r="I48" s="12" t="n"/>
      <c r="J48" s="8">
        <f>IF(I48="","",MONTH(I48))</f>
        <v/>
      </c>
      <c r="K48" s="5" t="n"/>
    </row>
    <row r="49">
      <c r="A49" s="5" t="n"/>
      <c r="B49" s="5" t="n"/>
      <c r="C49" s="5" t="n"/>
      <c r="D49" s="7" t="n"/>
      <c r="E49" s="8">
        <f>IF(C49="","",IFERROR(VLOOKUP(C49,Ciclos!$A$5:$B$29,2,FALSE),""))</f>
        <v/>
      </c>
      <c r="F49" s="9">
        <f>IF(OR(D49="",E49=""),"",D49+E49)</f>
        <v/>
      </c>
      <c r="G49" s="10">
        <f>IF(F49="","",TODAY()-F49)</f>
        <v/>
      </c>
      <c r="H49" s="11">
        <f>IF(F49="","",IF(G49&lt;0,"Em dia",IF(G49&lt;=15,"Chamar agora",IF(G49&lt;=60,"Sumida","Reativar"))))</f>
        <v/>
      </c>
      <c r="I49" s="12" t="n"/>
      <c r="J49" s="8">
        <f>IF(I49="","",MONTH(I49))</f>
        <v/>
      </c>
      <c r="K49" s="5" t="n"/>
    </row>
    <row r="50">
      <c r="A50" s="5" t="n"/>
      <c r="B50" s="5" t="n"/>
      <c r="C50" s="5" t="n"/>
      <c r="D50" s="7" t="n"/>
      <c r="E50" s="8">
        <f>IF(C50="","",IFERROR(VLOOKUP(C50,Ciclos!$A$5:$B$29,2,FALSE),""))</f>
        <v/>
      </c>
      <c r="F50" s="9">
        <f>IF(OR(D50="",E50=""),"",D50+E50)</f>
        <v/>
      </c>
      <c r="G50" s="10">
        <f>IF(F50="","",TODAY()-F50)</f>
        <v/>
      </c>
      <c r="H50" s="11">
        <f>IF(F50="","",IF(G50&lt;0,"Em dia",IF(G50&lt;=15,"Chamar agora",IF(G50&lt;=60,"Sumida","Reativar"))))</f>
        <v/>
      </c>
      <c r="I50" s="12" t="n"/>
      <c r="J50" s="8">
        <f>IF(I50="","",MONTH(I50))</f>
        <v/>
      </c>
      <c r="K50" s="5" t="n"/>
    </row>
    <row r="51">
      <c r="A51" s="5" t="n"/>
      <c r="B51" s="5" t="n"/>
      <c r="C51" s="5" t="n"/>
      <c r="D51" s="7" t="n"/>
      <c r="E51" s="8">
        <f>IF(C51="","",IFERROR(VLOOKUP(C51,Ciclos!$A$5:$B$29,2,FALSE),""))</f>
        <v/>
      </c>
      <c r="F51" s="9">
        <f>IF(OR(D51="",E51=""),"",D51+E51)</f>
        <v/>
      </c>
      <c r="G51" s="10">
        <f>IF(F51="","",TODAY()-F51)</f>
        <v/>
      </c>
      <c r="H51" s="11">
        <f>IF(F51="","",IF(G51&lt;0,"Em dia",IF(G51&lt;=15,"Chamar agora",IF(G51&lt;=60,"Sumida","Reativar"))))</f>
        <v/>
      </c>
      <c r="I51" s="12" t="n"/>
      <c r="J51" s="8">
        <f>IF(I51="","",MONTH(I51))</f>
        <v/>
      </c>
      <c r="K51" s="5" t="n"/>
    </row>
    <row r="52">
      <c r="A52" s="5" t="n"/>
      <c r="B52" s="5" t="n"/>
      <c r="C52" s="5" t="n"/>
      <c r="D52" s="7" t="n"/>
      <c r="E52" s="8">
        <f>IF(C52="","",IFERROR(VLOOKUP(C52,Ciclos!$A$5:$B$29,2,FALSE),""))</f>
        <v/>
      </c>
      <c r="F52" s="9">
        <f>IF(OR(D52="",E52=""),"",D52+E52)</f>
        <v/>
      </c>
      <c r="G52" s="10">
        <f>IF(F52="","",TODAY()-F52)</f>
        <v/>
      </c>
      <c r="H52" s="11">
        <f>IF(F52="","",IF(G52&lt;0,"Em dia",IF(G52&lt;=15,"Chamar agora",IF(G52&lt;=60,"Sumida","Reativar"))))</f>
        <v/>
      </c>
      <c r="I52" s="12" t="n"/>
      <c r="J52" s="8">
        <f>IF(I52="","",MONTH(I52))</f>
        <v/>
      </c>
      <c r="K52" s="5" t="n"/>
    </row>
    <row r="53">
      <c r="A53" s="5" t="n"/>
      <c r="B53" s="5" t="n"/>
      <c r="C53" s="5" t="n"/>
      <c r="D53" s="7" t="n"/>
      <c r="E53" s="8">
        <f>IF(C53="","",IFERROR(VLOOKUP(C53,Ciclos!$A$5:$B$29,2,FALSE),""))</f>
        <v/>
      </c>
      <c r="F53" s="9">
        <f>IF(OR(D53="",E53=""),"",D53+E53)</f>
        <v/>
      </c>
      <c r="G53" s="10">
        <f>IF(F53="","",TODAY()-F53)</f>
        <v/>
      </c>
      <c r="H53" s="11">
        <f>IF(F53="","",IF(G53&lt;0,"Em dia",IF(G53&lt;=15,"Chamar agora",IF(G53&lt;=60,"Sumida","Reativar"))))</f>
        <v/>
      </c>
      <c r="I53" s="12" t="n"/>
      <c r="J53" s="8">
        <f>IF(I53="","",MONTH(I53))</f>
        <v/>
      </c>
      <c r="K53" s="5" t="n"/>
    </row>
    <row r="54">
      <c r="A54" s="5" t="n"/>
      <c r="B54" s="5" t="n"/>
      <c r="C54" s="5" t="n"/>
      <c r="D54" s="7" t="n"/>
      <c r="E54" s="8">
        <f>IF(C54="","",IFERROR(VLOOKUP(C54,Ciclos!$A$5:$B$29,2,FALSE),""))</f>
        <v/>
      </c>
      <c r="F54" s="9">
        <f>IF(OR(D54="",E54=""),"",D54+E54)</f>
        <v/>
      </c>
      <c r="G54" s="10">
        <f>IF(F54="","",TODAY()-F54)</f>
        <v/>
      </c>
      <c r="H54" s="11">
        <f>IF(F54="","",IF(G54&lt;0,"Em dia",IF(G54&lt;=15,"Chamar agora",IF(G54&lt;=60,"Sumida","Reativar"))))</f>
        <v/>
      </c>
      <c r="I54" s="12" t="n"/>
      <c r="J54" s="8">
        <f>IF(I54="","",MONTH(I54))</f>
        <v/>
      </c>
      <c r="K54" s="5" t="n"/>
    </row>
    <row r="55">
      <c r="A55" s="5" t="n"/>
      <c r="B55" s="5" t="n"/>
      <c r="C55" s="5" t="n"/>
      <c r="D55" s="7" t="n"/>
      <c r="E55" s="8">
        <f>IF(C55="","",IFERROR(VLOOKUP(C55,Ciclos!$A$5:$B$29,2,FALSE),""))</f>
        <v/>
      </c>
      <c r="F55" s="9">
        <f>IF(OR(D55="",E55=""),"",D55+E55)</f>
        <v/>
      </c>
      <c r="G55" s="10">
        <f>IF(F55="","",TODAY()-F55)</f>
        <v/>
      </c>
      <c r="H55" s="11">
        <f>IF(F55="","",IF(G55&lt;0,"Em dia",IF(G55&lt;=15,"Chamar agora",IF(G55&lt;=60,"Sumida","Reativar"))))</f>
        <v/>
      </c>
      <c r="I55" s="12" t="n"/>
      <c r="J55" s="8">
        <f>IF(I55="","",MONTH(I55))</f>
        <v/>
      </c>
      <c r="K55" s="5" t="n"/>
    </row>
    <row r="56">
      <c r="A56" s="5" t="n"/>
      <c r="B56" s="5" t="n"/>
      <c r="C56" s="5" t="n"/>
      <c r="D56" s="7" t="n"/>
      <c r="E56" s="8">
        <f>IF(C56="","",IFERROR(VLOOKUP(C56,Ciclos!$A$5:$B$29,2,FALSE),""))</f>
        <v/>
      </c>
      <c r="F56" s="9">
        <f>IF(OR(D56="",E56=""),"",D56+E56)</f>
        <v/>
      </c>
      <c r="G56" s="10">
        <f>IF(F56="","",TODAY()-F56)</f>
        <v/>
      </c>
      <c r="H56" s="11">
        <f>IF(F56="","",IF(G56&lt;0,"Em dia",IF(G56&lt;=15,"Chamar agora",IF(G56&lt;=60,"Sumida","Reativar"))))</f>
        <v/>
      </c>
      <c r="I56" s="12" t="n"/>
      <c r="J56" s="8">
        <f>IF(I56="","",MONTH(I56))</f>
        <v/>
      </c>
      <c r="K56" s="5" t="n"/>
    </row>
    <row r="57">
      <c r="A57" s="5" t="n"/>
      <c r="B57" s="5" t="n"/>
      <c r="C57" s="5" t="n"/>
      <c r="D57" s="7" t="n"/>
      <c r="E57" s="8">
        <f>IF(C57="","",IFERROR(VLOOKUP(C57,Ciclos!$A$5:$B$29,2,FALSE),""))</f>
        <v/>
      </c>
      <c r="F57" s="9">
        <f>IF(OR(D57="",E57=""),"",D57+E57)</f>
        <v/>
      </c>
      <c r="G57" s="10">
        <f>IF(F57="","",TODAY()-F57)</f>
        <v/>
      </c>
      <c r="H57" s="11">
        <f>IF(F57="","",IF(G57&lt;0,"Em dia",IF(G57&lt;=15,"Chamar agora",IF(G57&lt;=60,"Sumida","Reativar"))))</f>
        <v/>
      </c>
      <c r="I57" s="12" t="n"/>
      <c r="J57" s="8">
        <f>IF(I57="","",MONTH(I57))</f>
        <v/>
      </c>
      <c r="K57" s="5" t="n"/>
    </row>
    <row r="58">
      <c r="A58" s="5" t="n"/>
      <c r="B58" s="5" t="n"/>
      <c r="C58" s="5" t="n"/>
      <c r="D58" s="7" t="n"/>
      <c r="E58" s="8">
        <f>IF(C58="","",IFERROR(VLOOKUP(C58,Ciclos!$A$5:$B$29,2,FALSE),""))</f>
        <v/>
      </c>
      <c r="F58" s="9">
        <f>IF(OR(D58="",E58=""),"",D58+E58)</f>
        <v/>
      </c>
      <c r="G58" s="10">
        <f>IF(F58="","",TODAY()-F58)</f>
        <v/>
      </c>
      <c r="H58" s="11">
        <f>IF(F58="","",IF(G58&lt;0,"Em dia",IF(G58&lt;=15,"Chamar agora",IF(G58&lt;=60,"Sumida","Reativar"))))</f>
        <v/>
      </c>
      <c r="I58" s="12" t="n"/>
      <c r="J58" s="8">
        <f>IF(I58="","",MONTH(I58))</f>
        <v/>
      </c>
      <c r="K58" s="5" t="n"/>
    </row>
    <row r="59">
      <c r="A59" s="5" t="n"/>
      <c r="B59" s="5" t="n"/>
      <c r="C59" s="5" t="n"/>
      <c r="D59" s="7" t="n"/>
      <c r="E59" s="8">
        <f>IF(C59="","",IFERROR(VLOOKUP(C59,Ciclos!$A$5:$B$29,2,FALSE),""))</f>
        <v/>
      </c>
      <c r="F59" s="9">
        <f>IF(OR(D59="",E59=""),"",D59+E59)</f>
        <v/>
      </c>
      <c r="G59" s="10">
        <f>IF(F59="","",TODAY()-F59)</f>
        <v/>
      </c>
      <c r="H59" s="11">
        <f>IF(F59="","",IF(G59&lt;0,"Em dia",IF(G59&lt;=15,"Chamar agora",IF(G59&lt;=60,"Sumida","Reativar"))))</f>
        <v/>
      </c>
      <c r="I59" s="12" t="n"/>
      <c r="J59" s="8">
        <f>IF(I59="","",MONTH(I59))</f>
        <v/>
      </c>
      <c r="K59" s="5" t="n"/>
    </row>
    <row r="60">
      <c r="A60" s="5" t="n"/>
      <c r="B60" s="5" t="n"/>
      <c r="C60" s="5" t="n"/>
      <c r="D60" s="7" t="n"/>
      <c r="E60" s="8">
        <f>IF(C60="","",IFERROR(VLOOKUP(C60,Ciclos!$A$5:$B$29,2,FALSE),""))</f>
        <v/>
      </c>
      <c r="F60" s="9">
        <f>IF(OR(D60="",E60=""),"",D60+E60)</f>
        <v/>
      </c>
      <c r="G60" s="10">
        <f>IF(F60="","",TODAY()-F60)</f>
        <v/>
      </c>
      <c r="H60" s="11">
        <f>IF(F60="","",IF(G60&lt;0,"Em dia",IF(G60&lt;=15,"Chamar agora",IF(G60&lt;=60,"Sumida","Reativar"))))</f>
        <v/>
      </c>
      <c r="I60" s="12" t="n"/>
      <c r="J60" s="8">
        <f>IF(I60="","",MONTH(I60))</f>
        <v/>
      </c>
      <c r="K60" s="5" t="n"/>
    </row>
    <row r="61">
      <c r="A61" s="5" t="n"/>
      <c r="B61" s="5" t="n"/>
      <c r="C61" s="5" t="n"/>
      <c r="D61" s="7" t="n"/>
      <c r="E61" s="8">
        <f>IF(C61="","",IFERROR(VLOOKUP(C61,Ciclos!$A$5:$B$29,2,FALSE),""))</f>
        <v/>
      </c>
      <c r="F61" s="9">
        <f>IF(OR(D61="",E61=""),"",D61+E61)</f>
        <v/>
      </c>
      <c r="G61" s="10">
        <f>IF(F61="","",TODAY()-F61)</f>
        <v/>
      </c>
      <c r="H61" s="11">
        <f>IF(F61="","",IF(G61&lt;0,"Em dia",IF(G61&lt;=15,"Chamar agora",IF(G61&lt;=60,"Sumida","Reativar"))))</f>
        <v/>
      </c>
      <c r="I61" s="12" t="n"/>
      <c r="J61" s="8">
        <f>IF(I61="","",MONTH(I61))</f>
        <v/>
      </c>
      <c r="K61" s="5" t="n"/>
    </row>
    <row r="62">
      <c r="A62" s="5" t="n"/>
      <c r="B62" s="5" t="n"/>
      <c r="C62" s="5" t="n"/>
      <c r="D62" s="7" t="n"/>
      <c r="E62" s="8">
        <f>IF(C62="","",IFERROR(VLOOKUP(C62,Ciclos!$A$5:$B$29,2,FALSE),""))</f>
        <v/>
      </c>
      <c r="F62" s="9">
        <f>IF(OR(D62="",E62=""),"",D62+E62)</f>
        <v/>
      </c>
      <c r="G62" s="10">
        <f>IF(F62="","",TODAY()-F62)</f>
        <v/>
      </c>
      <c r="H62" s="11">
        <f>IF(F62="","",IF(G62&lt;0,"Em dia",IF(G62&lt;=15,"Chamar agora",IF(G62&lt;=60,"Sumida","Reativar"))))</f>
        <v/>
      </c>
      <c r="I62" s="12" t="n"/>
      <c r="J62" s="8">
        <f>IF(I62="","",MONTH(I62))</f>
        <v/>
      </c>
      <c r="K62" s="5" t="n"/>
    </row>
    <row r="63">
      <c r="A63" s="5" t="n"/>
      <c r="B63" s="5" t="n"/>
      <c r="C63" s="5" t="n"/>
      <c r="D63" s="7" t="n"/>
      <c r="E63" s="8">
        <f>IF(C63="","",IFERROR(VLOOKUP(C63,Ciclos!$A$5:$B$29,2,FALSE),""))</f>
        <v/>
      </c>
      <c r="F63" s="9">
        <f>IF(OR(D63="",E63=""),"",D63+E63)</f>
        <v/>
      </c>
      <c r="G63" s="10">
        <f>IF(F63="","",TODAY()-F63)</f>
        <v/>
      </c>
      <c r="H63" s="11">
        <f>IF(F63="","",IF(G63&lt;0,"Em dia",IF(G63&lt;=15,"Chamar agora",IF(G63&lt;=60,"Sumida","Reativar"))))</f>
        <v/>
      </c>
      <c r="I63" s="12" t="n"/>
      <c r="J63" s="8">
        <f>IF(I63="","",MONTH(I63))</f>
        <v/>
      </c>
      <c r="K63" s="5" t="n"/>
    </row>
    <row r="64">
      <c r="A64" s="5" t="n"/>
      <c r="B64" s="5" t="n"/>
      <c r="C64" s="5" t="n"/>
      <c r="D64" s="7" t="n"/>
      <c r="E64" s="8">
        <f>IF(C64="","",IFERROR(VLOOKUP(C64,Ciclos!$A$5:$B$29,2,FALSE),""))</f>
        <v/>
      </c>
      <c r="F64" s="9">
        <f>IF(OR(D64="",E64=""),"",D64+E64)</f>
        <v/>
      </c>
      <c r="G64" s="10">
        <f>IF(F64="","",TODAY()-F64)</f>
        <v/>
      </c>
      <c r="H64" s="11">
        <f>IF(F64="","",IF(G64&lt;0,"Em dia",IF(G64&lt;=15,"Chamar agora",IF(G64&lt;=60,"Sumida","Reativar"))))</f>
        <v/>
      </c>
      <c r="I64" s="12" t="n"/>
      <c r="J64" s="8">
        <f>IF(I64="","",MONTH(I64))</f>
        <v/>
      </c>
      <c r="K64" s="5" t="n"/>
    </row>
    <row r="65">
      <c r="A65" s="5" t="n"/>
      <c r="B65" s="5" t="n"/>
      <c r="C65" s="5" t="n"/>
      <c r="D65" s="7" t="n"/>
      <c r="E65" s="8">
        <f>IF(C65="","",IFERROR(VLOOKUP(C65,Ciclos!$A$5:$B$29,2,FALSE),""))</f>
        <v/>
      </c>
      <c r="F65" s="9">
        <f>IF(OR(D65="",E65=""),"",D65+E65)</f>
        <v/>
      </c>
      <c r="G65" s="10">
        <f>IF(F65="","",TODAY()-F65)</f>
        <v/>
      </c>
      <c r="H65" s="11">
        <f>IF(F65="","",IF(G65&lt;0,"Em dia",IF(G65&lt;=15,"Chamar agora",IF(G65&lt;=60,"Sumida","Reativar"))))</f>
        <v/>
      </c>
      <c r="I65" s="12" t="n"/>
      <c r="J65" s="8">
        <f>IF(I65="","",MONTH(I65))</f>
        <v/>
      </c>
      <c r="K65" s="5" t="n"/>
    </row>
    <row r="66">
      <c r="A66" s="5" t="n"/>
      <c r="B66" s="5" t="n"/>
      <c r="C66" s="5" t="n"/>
      <c r="D66" s="7" t="n"/>
      <c r="E66" s="8">
        <f>IF(C66="","",IFERROR(VLOOKUP(C66,Ciclos!$A$5:$B$29,2,FALSE),""))</f>
        <v/>
      </c>
      <c r="F66" s="9">
        <f>IF(OR(D66="",E66=""),"",D66+E66)</f>
        <v/>
      </c>
      <c r="G66" s="10">
        <f>IF(F66="","",TODAY()-F66)</f>
        <v/>
      </c>
      <c r="H66" s="11">
        <f>IF(F66="","",IF(G66&lt;0,"Em dia",IF(G66&lt;=15,"Chamar agora",IF(G66&lt;=60,"Sumida","Reativar"))))</f>
        <v/>
      </c>
      <c r="I66" s="12" t="n"/>
      <c r="J66" s="8">
        <f>IF(I66="","",MONTH(I66))</f>
        <v/>
      </c>
      <c r="K66" s="5" t="n"/>
    </row>
    <row r="67">
      <c r="A67" s="5" t="n"/>
      <c r="B67" s="5" t="n"/>
      <c r="C67" s="5" t="n"/>
      <c r="D67" s="7" t="n"/>
      <c r="E67" s="8">
        <f>IF(C67="","",IFERROR(VLOOKUP(C67,Ciclos!$A$5:$B$29,2,FALSE),""))</f>
        <v/>
      </c>
      <c r="F67" s="9">
        <f>IF(OR(D67="",E67=""),"",D67+E67)</f>
        <v/>
      </c>
      <c r="G67" s="10">
        <f>IF(F67="","",TODAY()-F67)</f>
        <v/>
      </c>
      <c r="H67" s="11">
        <f>IF(F67="","",IF(G67&lt;0,"Em dia",IF(G67&lt;=15,"Chamar agora",IF(G67&lt;=60,"Sumida","Reativar"))))</f>
        <v/>
      </c>
      <c r="I67" s="12" t="n"/>
      <c r="J67" s="8">
        <f>IF(I67="","",MONTH(I67))</f>
        <v/>
      </c>
      <c r="K67" s="5" t="n"/>
    </row>
    <row r="68">
      <c r="A68" s="5" t="n"/>
      <c r="B68" s="5" t="n"/>
      <c r="C68" s="5" t="n"/>
      <c r="D68" s="7" t="n"/>
      <c r="E68" s="8">
        <f>IF(C68="","",IFERROR(VLOOKUP(C68,Ciclos!$A$5:$B$29,2,FALSE),""))</f>
        <v/>
      </c>
      <c r="F68" s="9">
        <f>IF(OR(D68="",E68=""),"",D68+E68)</f>
        <v/>
      </c>
      <c r="G68" s="10">
        <f>IF(F68="","",TODAY()-F68)</f>
        <v/>
      </c>
      <c r="H68" s="11">
        <f>IF(F68="","",IF(G68&lt;0,"Em dia",IF(G68&lt;=15,"Chamar agora",IF(G68&lt;=60,"Sumida","Reativar"))))</f>
        <v/>
      </c>
      <c r="I68" s="12" t="n"/>
      <c r="J68" s="8">
        <f>IF(I68="","",MONTH(I68))</f>
        <v/>
      </c>
      <c r="K68" s="5" t="n"/>
    </row>
    <row r="69">
      <c r="A69" s="5" t="n"/>
      <c r="B69" s="5" t="n"/>
      <c r="C69" s="5" t="n"/>
      <c r="D69" s="7" t="n"/>
      <c r="E69" s="8">
        <f>IF(C69="","",IFERROR(VLOOKUP(C69,Ciclos!$A$5:$B$29,2,FALSE),""))</f>
        <v/>
      </c>
      <c r="F69" s="9">
        <f>IF(OR(D69="",E69=""),"",D69+E69)</f>
        <v/>
      </c>
      <c r="G69" s="10">
        <f>IF(F69="","",TODAY()-F69)</f>
        <v/>
      </c>
      <c r="H69" s="11">
        <f>IF(F69="","",IF(G69&lt;0,"Em dia",IF(G69&lt;=15,"Chamar agora",IF(G69&lt;=60,"Sumida","Reativar"))))</f>
        <v/>
      </c>
      <c r="I69" s="12" t="n"/>
      <c r="J69" s="8">
        <f>IF(I69="","",MONTH(I69))</f>
        <v/>
      </c>
      <c r="K69" s="5" t="n"/>
    </row>
    <row r="70">
      <c r="A70" s="5" t="n"/>
      <c r="B70" s="5" t="n"/>
      <c r="C70" s="5" t="n"/>
      <c r="D70" s="7" t="n"/>
      <c r="E70" s="8">
        <f>IF(C70="","",IFERROR(VLOOKUP(C70,Ciclos!$A$5:$B$29,2,FALSE),""))</f>
        <v/>
      </c>
      <c r="F70" s="9">
        <f>IF(OR(D70="",E70=""),"",D70+E70)</f>
        <v/>
      </c>
      <c r="G70" s="10">
        <f>IF(F70="","",TODAY()-F70)</f>
        <v/>
      </c>
      <c r="H70" s="11">
        <f>IF(F70="","",IF(G70&lt;0,"Em dia",IF(G70&lt;=15,"Chamar agora",IF(G70&lt;=60,"Sumida","Reativar"))))</f>
        <v/>
      </c>
      <c r="I70" s="12" t="n"/>
      <c r="J70" s="8">
        <f>IF(I70="","",MONTH(I70))</f>
        <v/>
      </c>
      <c r="K70" s="5" t="n"/>
    </row>
    <row r="71">
      <c r="A71" s="5" t="n"/>
      <c r="B71" s="5" t="n"/>
      <c r="C71" s="5" t="n"/>
      <c r="D71" s="7" t="n"/>
      <c r="E71" s="8">
        <f>IF(C71="","",IFERROR(VLOOKUP(C71,Ciclos!$A$5:$B$29,2,FALSE),""))</f>
        <v/>
      </c>
      <c r="F71" s="9">
        <f>IF(OR(D71="",E71=""),"",D71+E71)</f>
        <v/>
      </c>
      <c r="G71" s="10">
        <f>IF(F71="","",TODAY()-F71)</f>
        <v/>
      </c>
      <c r="H71" s="11">
        <f>IF(F71="","",IF(G71&lt;0,"Em dia",IF(G71&lt;=15,"Chamar agora",IF(G71&lt;=60,"Sumida","Reativar"))))</f>
        <v/>
      </c>
      <c r="I71" s="12" t="n"/>
      <c r="J71" s="8">
        <f>IF(I71="","",MONTH(I71))</f>
        <v/>
      </c>
      <c r="K71" s="5" t="n"/>
    </row>
    <row r="72">
      <c r="A72" s="5" t="n"/>
      <c r="B72" s="5" t="n"/>
      <c r="C72" s="5" t="n"/>
      <c r="D72" s="7" t="n"/>
      <c r="E72" s="8">
        <f>IF(C72="","",IFERROR(VLOOKUP(C72,Ciclos!$A$5:$B$29,2,FALSE),""))</f>
        <v/>
      </c>
      <c r="F72" s="9">
        <f>IF(OR(D72="",E72=""),"",D72+E72)</f>
        <v/>
      </c>
      <c r="G72" s="10">
        <f>IF(F72="","",TODAY()-F72)</f>
        <v/>
      </c>
      <c r="H72" s="11">
        <f>IF(F72="","",IF(G72&lt;0,"Em dia",IF(G72&lt;=15,"Chamar agora",IF(G72&lt;=60,"Sumida","Reativar"))))</f>
        <v/>
      </c>
      <c r="I72" s="12" t="n"/>
      <c r="J72" s="8">
        <f>IF(I72="","",MONTH(I72))</f>
        <v/>
      </c>
      <c r="K72" s="5" t="n"/>
    </row>
    <row r="73">
      <c r="A73" s="5" t="n"/>
      <c r="B73" s="5" t="n"/>
      <c r="C73" s="5" t="n"/>
      <c r="D73" s="7" t="n"/>
      <c r="E73" s="8">
        <f>IF(C73="","",IFERROR(VLOOKUP(C73,Ciclos!$A$5:$B$29,2,FALSE),""))</f>
        <v/>
      </c>
      <c r="F73" s="9">
        <f>IF(OR(D73="",E73=""),"",D73+E73)</f>
        <v/>
      </c>
      <c r="G73" s="10">
        <f>IF(F73="","",TODAY()-F73)</f>
        <v/>
      </c>
      <c r="H73" s="11">
        <f>IF(F73="","",IF(G73&lt;0,"Em dia",IF(G73&lt;=15,"Chamar agora",IF(G73&lt;=60,"Sumida","Reativar"))))</f>
        <v/>
      </c>
      <c r="I73" s="12" t="n"/>
      <c r="J73" s="8">
        <f>IF(I73="","",MONTH(I73))</f>
        <v/>
      </c>
      <c r="K73" s="5" t="n"/>
    </row>
    <row r="74">
      <c r="A74" s="5" t="n"/>
      <c r="B74" s="5" t="n"/>
      <c r="C74" s="5" t="n"/>
      <c r="D74" s="7" t="n"/>
      <c r="E74" s="8">
        <f>IF(C74="","",IFERROR(VLOOKUP(C74,Ciclos!$A$5:$B$29,2,FALSE),""))</f>
        <v/>
      </c>
      <c r="F74" s="9">
        <f>IF(OR(D74="",E74=""),"",D74+E74)</f>
        <v/>
      </c>
      <c r="G74" s="10">
        <f>IF(F74="","",TODAY()-F74)</f>
        <v/>
      </c>
      <c r="H74" s="11">
        <f>IF(F74="","",IF(G74&lt;0,"Em dia",IF(G74&lt;=15,"Chamar agora",IF(G74&lt;=60,"Sumida","Reativar"))))</f>
        <v/>
      </c>
      <c r="I74" s="12" t="n"/>
      <c r="J74" s="8">
        <f>IF(I74="","",MONTH(I74))</f>
        <v/>
      </c>
      <c r="K74" s="5" t="n"/>
    </row>
    <row r="75">
      <c r="A75" s="5" t="n"/>
      <c r="B75" s="5" t="n"/>
      <c r="C75" s="5" t="n"/>
      <c r="D75" s="7" t="n"/>
      <c r="E75" s="8">
        <f>IF(C75="","",IFERROR(VLOOKUP(C75,Ciclos!$A$5:$B$29,2,FALSE),""))</f>
        <v/>
      </c>
      <c r="F75" s="9">
        <f>IF(OR(D75="",E75=""),"",D75+E75)</f>
        <v/>
      </c>
      <c r="G75" s="10">
        <f>IF(F75="","",TODAY()-F75)</f>
        <v/>
      </c>
      <c r="H75" s="11">
        <f>IF(F75="","",IF(G75&lt;0,"Em dia",IF(G75&lt;=15,"Chamar agora",IF(G75&lt;=60,"Sumida","Reativar"))))</f>
        <v/>
      </c>
      <c r="I75" s="12" t="n"/>
      <c r="J75" s="8">
        <f>IF(I75="","",MONTH(I75))</f>
        <v/>
      </c>
      <c r="K75" s="5" t="n"/>
    </row>
    <row r="76">
      <c r="A76" s="5" t="n"/>
      <c r="B76" s="5" t="n"/>
      <c r="C76" s="5" t="n"/>
      <c r="D76" s="7" t="n"/>
      <c r="E76" s="8">
        <f>IF(C76="","",IFERROR(VLOOKUP(C76,Ciclos!$A$5:$B$29,2,FALSE),""))</f>
        <v/>
      </c>
      <c r="F76" s="9">
        <f>IF(OR(D76="",E76=""),"",D76+E76)</f>
        <v/>
      </c>
      <c r="G76" s="10">
        <f>IF(F76="","",TODAY()-F76)</f>
        <v/>
      </c>
      <c r="H76" s="11">
        <f>IF(F76="","",IF(G76&lt;0,"Em dia",IF(G76&lt;=15,"Chamar agora",IF(G76&lt;=60,"Sumida","Reativar"))))</f>
        <v/>
      </c>
      <c r="I76" s="12" t="n"/>
      <c r="J76" s="8">
        <f>IF(I76="","",MONTH(I76))</f>
        <v/>
      </c>
      <c r="K76" s="5" t="n"/>
    </row>
    <row r="77">
      <c r="A77" s="5" t="n"/>
      <c r="B77" s="5" t="n"/>
      <c r="C77" s="5" t="n"/>
      <c r="D77" s="7" t="n"/>
      <c r="E77" s="8">
        <f>IF(C77="","",IFERROR(VLOOKUP(C77,Ciclos!$A$5:$B$29,2,FALSE),""))</f>
        <v/>
      </c>
      <c r="F77" s="9">
        <f>IF(OR(D77="",E77=""),"",D77+E77)</f>
        <v/>
      </c>
      <c r="G77" s="10">
        <f>IF(F77="","",TODAY()-F77)</f>
        <v/>
      </c>
      <c r="H77" s="11">
        <f>IF(F77="","",IF(G77&lt;0,"Em dia",IF(G77&lt;=15,"Chamar agora",IF(G77&lt;=60,"Sumida","Reativar"))))</f>
        <v/>
      </c>
      <c r="I77" s="12" t="n"/>
      <c r="J77" s="8">
        <f>IF(I77="","",MONTH(I77))</f>
        <v/>
      </c>
      <c r="K77" s="5" t="n"/>
    </row>
    <row r="78">
      <c r="A78" s="5" t="n"/>
      <c r="B78" s="5" t="n"/>
      <c r="C78" s="5" t="n"/>
      <c r="D78" s="7" t="n"/>
      <c r="E78" s="8">
        <f>IF(C78="","",IFERROR(VLOOKUP(C78,Ciclos!$A$5:$B$29,2,FALSE),""))</f>
        <v/>
      </c>
      <c r="F78" s="9">
        <f>IF(OR(D78="",E78=""),"",D78+E78)</f>
        <v/>
      </c>
      <c r="G78" s="10">
        <f>IF(F78="","",TODAY()-F78)</f>
        <v/>
      </c>
      <c r="H78" s="11">
        <f>IF(F78="","",IF(G78&lt;0,"Em dia",IF(G78&lt;=15,"Chamar agora",IF(G78&lt;=60,"Sumida","Reativar"))))</f>
        <v/>
      </c>
      <c r="I78" s="12" t="n"/>
      <c r="J78" s="8">
        <f>IF(I78="","",MONTH(I78))</f>
        <v/>
      </c>
      <c r="K78" s="5" t="n"/>
    </row>
    <row r="79">
      <c r="A79" s="5" t="n"/>
      <c r="B79" s="5" t="n"/>
      <c r="C79" s="5" t="n"/>
      <c r="D79" s="7" t="n"/>
      <c r="E79" s="8">
        <f>IF(C79="","",IFERROR(VLOOKUP(C79,Ciclos!$A$5:$B$29,2,FALSE),""))</f>
        <v/>
      </c>
      <c r="F79" s="9">
        <f>IF(OR(D79="",E79=""),"",D79+E79)</f>
        <v/>
      </c>
      <c r="G79" s="10">
        <f>IF(F79="","",TODAY()-F79)</f>
        <v/>
      </c>
      <c r="H79" s="11">
        <f>IF(F79="","",IF(G79&lt;0,"Em dia",IF(G79&lt;=15,"Chamar agora",IF(G79&lt;=60,"Sumida","Reativar"))))</f>
        <v/>
      </c>
      <c r="I79" s="12" t="n"/>
      <c r="J79" s="8">
        <f>IF(I79="","",MONTH(I79))</f>
        <v/>
      </c>
      <c r="K79" s="5" t="n"/>
    </row>
    <row r="80">
      <c r="A80" s="5" t="n"/>
      <c r="B80" s="5" t="n"/>
      <c r="C80" s="5" t="n"/>
      <c r="D80" s="7" t="n"/>
      <c r="E80" s="8">
        <f>IF(C80="","",IFERROR(VLOOKUP(C80,Ciclos!$A$5:$B$29,2,FALSE),""))</f>
        <v/>
      </c>
      <c r="F80" s="9">
        <f>IF(OR(D80="",E80=""),"",D80+E80)</f>
        <v/>
      </c>
      <c r="G80" s="10">
        <f>IF(F80="","",TODAY()-F80)</f>
        <v/>
      </c>
      <c r="H80" s="11">
        <f>IF(F80="","",IF(G80&lt;0,"Em dia",IF(G80&lt;=15,"Chamar agora",IF(G80&lt;=60,"Sumida","Reativar"))))</f>
        <v/>
      </c>
      <c r="I80" s="12" t="n"/>
      <c r="J80" s="8">
        <f>IF(I80="","",MONTH(I80))</f>
        <v/>
      </c>
      <c r="K80" s="5" t="n"/>
    </row>
    <row r="81">
      <c r="A81" s="5" t="n"/>
      <c r="B81" s="5" t="n"/>
      <c r="C81" s="5" t="n"/>
      <c r="D81" s="7" t="n"/>
      <c r="E81" s="8">
        <f>IF(C81="","",IFERROR(VLOOKUP(C81,Ciclos!$A$5:$B$29,2,FALSE),""))</f>
        <v/>
      </c>
      <c r="F81" s="9">
        <f>IF(OR(D81="",E81=""),"",D81+E81)</f>
        <v/>
      </c>
      <c r="G81" s="10">
        <f>IF(F81="","",TODAY()-F81)</f>
        <v/>
      </c>
      <c r="H81" s="11">
        <f>IF(F81="","",IF(G81&lt;0,"Em dia",IF(G81&lt;=15,"Chamar agora",IF(G81&lt;=60,"Sumida","Reativar"))))</f>
        <v/>
      </c>
      <c r="I81" s="12" t="n"/>
      <c r="J81" s="8">
        <f>IF(I81="","",MONTH(I81))</f>
        <v/>
      </c>
      <c r="K81" s="5" t="n"/>
    </row>
    <row r="82">
      <c r="A82" s="5" t="n"/>
      <c r="B82" s="5" t="n"/>
      <c r="C82" s="5" t="n"/>
      <c r="D82" s="7" t="n"/>
      <c r="E82" s="8">
        <f>IF(C82="","",IFERROR(VLOOKUP(C82,Ciclos!$A$5:$B$29,2,FALSE),""))</f>
        <v/>
      </c>
      <c r="F82" s="9">
        <f>IF(OR(D82="",E82=""),"",D82+E82)</f>
        <v/>
      </c>
      <c r="G82" s="10">
        <f>IF(F82="","",TODAY()-F82)</f>
        <v/>
      </c>
      <c r="H82" s="11">
        <f>IF(F82="","",IF(G82&lt;0,"Em dia",IF(G82&lt;=15,"Chamar agora",IF(G82&lt;=60,"Sumida","Reativar"))))</f>
        <v/>
      </c>
      <c r="I82" s="12" t="n"/>
      <c r="J82" s="8">
        <f>IF(I82="","",MONTH(I82))</f>
        <v/>
      </c>
      <c r="K82" s="5" t="n"/>
    </row>
    <row r="83">
      <c r="A83" s="5" t="n"/>
      <c r="B83" s="5" t="n"/>
      <c r="C83" s="5" t="n"/>
      <c r="D83" s="7" t="n"/>
      <c r="E83" s="8">
        <f>IF(C83="","",IFERROR(VLOOKUP(C83,Ciclos!$A$5:$B$29,2,FALSE),""))</f>
        <v/>
      </c>
      <c r="F83" s="9">
        <f>IF(OR(D83="",E83=""),"",D83+E83)</f>
        <v/>
      </c>
      <c r="G83" s="10">
        <f>IF(F83="","",TODAY()-F83)</f>
        <v/>
      </c>
      <c r="H83" s="11">
        <f>IF(F83="","",IF(G83&lt;0,"Em dia",IF(G83&lt;=15,"Chamar agora",IF(G83&lt;=60,"Sumida","Reativar"))))</f>
        <v/>
      </c>
      <c r="I83" s="12" t="n"/>
      <c r="J83" s="8">
        <f>IF(I83="","",MONTH(I83))</f>
        <v/>
      </c>
      <c r="K83" s="5" t="n"/>
    </row>
    <row r="84">
      <c r="A84" s="5" t="n"/>
      <c r="B84" s="5" t="n"/>
      <c r="C84" s="5" t="n"/>
      <c r="D84" s="7" t="n"/>
      <c r="E84" s="8">
        <f>IF(C84="","",IFERROR(VLOOKUP(C84,Ciclos!$A$5:$B$29,2,FALSE),""))</f>
        <v/>
      </c>
      <c r="F84" s="9">
        <f>IF(OR(D84="",E84=""),"",D84+E84)</f>
        <v/>
      </c>
      <c r="G84" s="10">
        <f>IF(F84="","",TODAY()-F84)</f>
        <v/>
      </c>
      <c r="H84" s="11">
        <f>IF(F84="","",IF(G84&lt;0,"Em dia",IF(G84&lt;=15,"Chamar agora",IF(G84&lt;=60,"Sumida","Reativar"))))</f>
        <v/>
      </c>
      <c r="I84" s="12" t="n"/>
      <c r="J84" s="8">
        <f>IF(I84="","",MONTH(I84))</f>
        <v/>
      </c>
      <c r="K84" s="5" t="n"/>
    </row>
    <row r="85">
      <c r="A85" s="5" t="n"/>
      <c r="B85" s="5" t="n"/>
      <c r="C85" s="5" t="n"/>
      <c r="D85" s="7" t="n"/>
      <c r="E85" s="8">
        <f>IF(C85="","",IFERROR(VLOOKUP(C85,Ciclos!$A$5:$B$29,2,FALSE),""))</f>
        <v/>
      </c>
      <c r="F85" s="9">
        <f>IF(OR(D85="",E85=""),"",D85+E85)</f>
        <v/>
      </c>
      <c r="G85" s="10">
        <f>IF(F85="","",TODAY()-F85)</f>
        <v/>
      </c>
      <c r="H85" s="11">
        <f>IF(F85="","",IF(G85&lt;0,"Em dia",IF(G85&lt;=15,"Chamar agora",IF(G85&lt;=60,"Sumida","Reativar"))))</f>
        <v/>
      </c>
      <c r="I85" s="12" t="n"/>
      <c r="J85" s="8">
        <f>IF(I85="","",MONTH(I85))</f>
        <v/>
      </c>
      <c r="K85" s="5" t="n"/>
    </row>
    <row r="86">
      <c r="A86" s="5" t="n"/>
      <c r="B86" s="5" t="n"/>
      <c r="C86" s="5" t="n"/>
      <c r="D86" s="7" t="n"/>
      <c r="E86" s="8">
        <f>IF(C86="","",IFERROR(VLOOKUP(C86,Ciclos!$A$5:$B$29,2,FALSE),""))</f>
        <v/>
      </c>
      <c r="F86" s="9">
        <f>IF(OR(D86="",E86=""),"",D86+E86)</f>
        <v/>
      </c>
      <c r="G86" s="10">
        <f>IF(F86="","",TODAY()-F86)</f>
        <v/>
      </c>
      <c r="H86" s="11">
        <f>IF(F86="","",IF(G86&lt;0,"Em dia",IF(G86&lt;=15,"Chamar agora",IF(G86&lt;=60,"Sumida","Reativar"))))</f>
        <v/>
      </c>
      <c r="I86" s="12" t="n"/>
      <c r="J86" s="8">
        <f>IF(I86="","",MONTH(I86))</f>
        <v/>
      </c>
      <c r="K86" s="5" t="n"/>
    </row>
    <row r="87">
      <c r="A87" s="5" t="n"/>
      <c r="B87" s="5" t="n"/>
      <c r="C87" s="5" t="n"/>
      <c r="D87" s="7" t="n"/>
      <c r="E87" s="8">
        <f>IF(C87="","",IFERROR(VLOOKUP(C87,Ciclos!$A$5:$B$29,2,FALSE),""))</f>
        <v/>
      </c>
      <c r="F87" s="9">
        <f>IF(OR(D87="",E87=""),"",D87+E87)</f>
        <v/>
      </c>
      <c r="G87" s="10">
        <f>IF(F87="","",TODAY()-F87)</f>
        <v/>
      </c>
      <c r="H87" s="11">
        <f>IF(F87="","",IF(G87&lt;0,"Em dia",IF(G87&lt;=15,"Chamar agora",IF(G87&lt;=60,"Sumida","Reativar"))))</f>
        <v/>
      </c>
      <c r="I87" s="12" t="n"/>
      <c r="J87" s="8">
        <f>IF(I87="","",MONTH(I87))</f>
        <v/>
      </c>
      <c r="K87" s="5" t="n"/>
    </row>
    <row r="88">
      <c r="A88" s="5" t="n"/>
      <c r="B88" s="5" t="n"/>
      <c r="C88" s="5" t="n"/>
      <c r="D88" s="7" t="n"/>
      <c r="E88" s="8">
        <f>IF(C88="","",IFERROR(VLOOKUP(C88,Ciclos!$A$5:$B$29,2,FALSE),""))</f>
        <v/>
      </c>
      <c r="F88" s="9">
        <f>IF(OR(D88="",E88=""),"",D88+E88)</f>
        <v/>
      </c>
      <c r="G88" s="10">
        <f>IF(F88="","",TODAY()-F88)</f>
        <v/>
      </c>
      <c r="H88" s="11">
        <f>IF(F88="","",IF(G88&lt;0,"Em dia",IF(G88&lt;=15,"Chamar agora",IF(G88&lt;=60,"Sumida","Reativar"))))</f>
        <v/>
      </c>
      <c r="I88" s="12" t="n"/>
      <c r="J88" s="8">
        <f>IF(I88="","",MONTH(I88))</f>
        <v/>
      </c>
      <c r="K88" s="5" t="n"/>
    </row>
    <row r="89">
      <c r="A89" s="5" t="n"/>
      <c r="B89" s="5" t="n"/>
      <c r="C89" s="5" t="n"/>
      <c r="D89" s="7" t="n"/>
      <c r="E89" s="8">
        <f>IF(C89="","",IFERROR(VLOOKUP(C89,Ciclos!$A$5:$B$29,2,FALSE),""))</f>
        <v/>
      </c>
      <c r="F89" s="9">
        <f>IF(OR(D89="",E89=""),"",D89+E89)</f>
        <v/>
      </c>
      <c r="G89" s="10">
        <f>IF(F89="","",TODAY()-F89)</f>
        <v/>
      </c>
      <c r="H89" s="11">
        <f>IF(F89="","",IF(G89&lt;0,"Em dia",IF(G89&lt;=15,"Chamar agora",IF(G89&lt;=60,"Sumida","Reativar"))))</f>
        <v/>
      </c>
      <c r="I89" s="12" t="n"/>
      <c r="J89" s="8">
        <f>IF(I89="","",MONTH(I89))</f>
        <v/>
      </c>
      <c r="K89" s="5" t="n"/>
    </row>
    <row r="90">
      <c r="A90" s="5" t="n"/>
      <c r="B90" s="5" t="n"/>
      <c r="C90" s="5" t="n"/>
      <c r="D90" s="7" t="n"/>
      <c r="E90" s="8">
        <f>IF(C90="","",IFERROR(VLOOKUP(C90,Ciclos!$A$5:$B$29,2,FALSE),""))</f>
        <v/>
      </c>
      <c r="F90" s="9">
        <f>IF(OR(D90="",E90=""),"",D90+E90)</f>
        <v/>
      </c>
      <c r="G90" s="10">
        <f>IF(F90="","",TODAY()-F90)</f>
        <v/>
      </c>
      <c r="H90" s="11">
        <f>IF(F90="","",IF(G90&lt;0,"Em dia",IF(G90&lt;=15,"Chamar agora",IF(G90&lt;=60,"Sumida","Reativar"))))</f>
        <v/>
      </c>
      <c r="I90" s="12" t="n"/>
      <c r="J90" s="8">
        <f>IF(I90="","",MONTH(I90))</f>
        <v/>
      </c>
      <c r="K90" s="5" t="n"/>
    </row>
    <row r="91">
      <c r="A91" s="5" t="n"/>
      <c r="B91" s="5" t="n"/>
      <c r="C91" s="5" t="n"/>
      <c r="D91" s="7" t="n"/>
      <c r="E91" s="8">
        <f>IF(C91="","",IFERROR(VLOOKUP(C91,Ciclos!$A$5:$B$29,2,FALSE),""))</f>
        <v/>
      </c>
      <c r="F91" s="9">
        <f>IF(OR(D91="",E91=""),"",D91+E91)</f>
        <v/>
      </c>
      <c r="G91" s="10">
        <f>IF(F91="","",TODAY()-F91)</f>
        <v/>
      </c>
      <c r="H91" s="11">
        <f>IF(F91="","",IF(G91&lt;0,"Em dia",IF(G91&lt;=15,"Chamar agora",IF(G91&lt;=60,"Sumida","Reativar"))))</f>
        <v/>
      </c>
      <c r="I91" s="12" t="n"/>
      <c r="J91" s="8">
        <f>IF(I91="","",MONTH(I91))</f>
        <v/>
      </c>
      <c r="K91" s="5" t="n"/>
    </row>
    <row r="92">
      <c r="A92" s="5" t="n"/>
      <c r="B92" s="5" t="n"/>
      <c r="C92" s="5" t="n"/>
      <c r="D92" s="7" t="n"/>
      <c r="E92" s="8">
        <f>IF(C92="","",IFERROR(VLOOKUP(C92,Ciclos!$A$5:$B$29,2,FALSE),""))</f>
        <v/>
      </c>
      <c r="F92" s="9">
        <f>IF(OR(D92="",E92=""),"",D92+E92)</f>
        <v/>
      </c>
      <c r="G92" s="10">
        <f>IF(F92="","",TODAY()-F92)</f>
        <v/>
      </c>
      <c r="H92" s="11">
        <f>IF(F92="","",IF(G92&lt;0,"Em dia",IF(G92&lt;=15,"Chamar agora",IF(G92&lt;=60,"Sumida","Reativar"))))</f>
        <v/>
      </c>
      <c r="I92" s="12" t="n"/>
      <c r="J92" s="8">
        <f>IF(I92="","",MONTH(I92))</f>
        <v/>
      </c>
      <c r="K92" s="5" t="n"/>
    </row>
    <row r="93">
      <c r="A93" s="5" t="n"/>
      <c r="B93" s="5" t="n"/>
      <c r="C93" s="5" t="n"/>
      <c r="D93" s="7" t="n"/>
      <c r="E93" s="8">
        <f>IF(C93="","",IFERROR(VLOOKUP(C93,Ciclos!$A$5:$B$29,2,FALSE),""))</f>
        <v/>
      </c>
      <c r="F93" s="9">
        <f>IF(OR(D93="",E93=""),"",D93+E93)</f>
        <v/>
      </c>
      <c r="G93" s="10">
        <f>IF(F93="","",TODAY()-F93)</f>
        <v/>
      </c>
      <c r="H93" s="11">
        <f>IF(F93="","",IF(G93&lt;0,"Em dia",IF(G93&lt;=15,"Chamar agora",IF(G93&lt;=60,"Sumida","Reativar"))))</f>
        <v/>
      </c>
      <c r="I93" s="12" t="n"/>
      <c r="J93" s="8">
        <f>IF(I93="","",MONTH(I93))</f>
        <v/>
      </c>
      <c r="K93" s="5" t="n"/>
    </row>
    <row r="94">
      <c r="A94" s="5" t="n"/>
      <c r="B94" s="5" t="n"/>
      <c r="C94" s="5" t="n"/>
      <c r="D94" s="7" t="n"/>
      <c r="E94" s="8">
        <f>IF(C94="","",IFERROR(VLOOKUP(C94,Ciclos!$A$5:$B$29,2,FALSE),""))</f>
        <v/>
      </c>
      <c r="F94" s="9">
        <f>IF(OR(D94="",E94=""),"",D94+E94)</f>
        <v/>
      </c>
      <c r="G94" s="10">
        <f>IF(F94="","",TODAY()-F94)</f>
        <v/>
      </c>
      <c r="H94" s="11">
        <f>IF(F94="","",IF(G94&lt;0,"Em dia",IF(G94&lt;=15,"Chamar agora",IF(G94&lt;=60,"Sumida","Reativar"))))</f>
        <v/>
      </c>
      <c r="I94" s="12" t="n"/>
      <c r="J94" s="8">
        <f>IF(I94="","",MONTH(I94))</f>
        <v/>
      </c>
      <c r="K94" s="5" t="n"/>
    </row>
    <row r="95">
      <c r="A95" s="5" t="n"/>
      <c r="B95" s="5" t="n"/>
      <c r="C95" s="5" t="n"/>
      <c r="D95" s="7" t="n"/>
      <c r="E95" s="8">
        <f>IF(C95="","",IFERROR(VLOOKUP(C95,Ciclos!$A$5:$B$29,2,FALSE),""))</f>
        <v/>
      </c>
      <c r="F95" s="9">
        <f>IF(OR(D95="",E95=""),"",D95+E95)</f>
        <v/>
      </c>
      <c r="G95" s="10">
        <f>IF(F95="","",TODAY()-F95)</f>
        <v/>
      </c>
      <c r="H95" s="11">
        <f>IF(F95="","",IF(G95&lt;0,"Em dia",IF(G95&lt;=15,"Chamar agora",IF(G95&lt;=60,"Sumida","Reativar"))))</f>
        <v/>
      </c>
      <c r="I95" s="12" t="n"/>
      <c r="J95" s="8">
        <f>IF(I95="","",MONTH(I95))</f>
        <v/>
      </c>
      <c r="K95" s="5" t="n"/>
    </row>
    <row r="96">
      <c r="A96" s="5" t="n"/>
      <c r="B96" s="5" t="n"/>
      <c r="C96" s="5" t="n"/>
      <c r="D96" s="7" t="n"/>
      <c r="E96" s="8">
        <f>IF(C96="","",IFERROR(VLOOKUP(C96,Ciclos!$A$5:$B$29,2,FALSE),""))</f>
        <v/>
      </c>
      <c r="F96" s="9">
        <f>IF(OR(D96="",E96=""),"",D96+E96)</f>
        <v/>
      </c>
      <c r="G96" s="10">
        <f>IF(F96="","",TODAY()-F96)</f>
        <v/>
      </c>
      <c r="H96" s="11">
        <f>IF(F96="","",IF(G96&lt;0,"Em dia",IF(G96&lt;=15,"Chamar agora",IF(G96&lt;=60,"Sumida","Reativar"))))</f>
        <v/>
      </c>
      <c r="I96" s="12" t="n"/>
      <c r="J96" s="8">
        <f>IF(I96="","",MONTH(I96))</f>
        <v/>
      </c>
      <c r="K96" s="5" t="n"/>
    </row>
    <row r="97">
      <c r="A97" s="5" t="n"/>
      <c r="B97" s="5" t="n"/>
      <c r="C97" s="5" t="n"/>
      <c r="D97" s="7" t="n"/>
      <c r="E97" s="8">
        <f>IF(C97="","",IFERROR(VLOOKUP(C97,Ciclos!$A$5:$B$29,2,FALSE),""))</f>
        <v/>
      </c>
      <c r="F97" s="9">
        <f>IF(OR(D97="",E97=""),"",D97+E97)</f>
        <v/>
      </c>
      <c r="G97" s="10">
        <f>IF(F97="","",TODAY()-F97)</f>
        <v/>
      </c>
      <c r="H97" s="11">
        <f>IF(F97="","",IF(G97&lt;0,"Em dia",IF(G97&lt;=15,"Chamar agora",IF(G97&lt;=60,"Sumida","Reativar"))))</f>
        <v/>
      </c>
      <c r="I97" s="12" t="n"/>
      <c r="J97" s="8">
        <f>IF(I97="","",MONTH(I97))</f>
        <v/>
      </c>
      <c r="K97" s="5" t="n"/>
    </row>
    <row r="98">
      <c r="A98" s="5" t="n"/>
      <c r="B98" s="5" t="n"/>
      <c r="C98" s="5" t="n"/>
      <c r="D98" s="7" t="n"/>
      <c r="E98" s="8">
        <f>IF(C98="","",IFERROR(VLOOKUP(C98,Ciclos!$A$5:$B$29,2,FALSE),""))</f>
        <v/>
      </c>
      <c r="F98" s="9">
        <f>IF(OR(D98="",E98=""),"",D98+E98)</f>
        <v/>
      </c>
      <c r="G98" s="10">
        <f>IF(F98="","",TODAY()-F98)</f>
        <v/>
      </c>
      <c r="H98" s="11">
        <f>IF(F98="","",IF(G98&lt;0,"Em dia",IF(G98&lt;=15,"Chamar agora",IF(G98&lt;=60,"Sumida","Reativar"))))</f>
        <v/>
      </c>
      <c r="I98" s="12" t="n"/>
      <c r="J98" s="8">
        <f>IF(I98="","",MONTH(I98))</f>
        <v/>
      </c>
      <c r="K98" s="5" t="n"/>
    </row>
    <row r="99">
      <c r="A99" s="5" t="n"/>
      <c r="B99" s="5" t="n"/>
      <c r="C99" s="5" t="n"/>
      <c r="D99" s="7" t="n"/>
      <c r="E99" s="8">
        <f>IF(C99="","",IFERROR(VLOOKUP(C99,Ciclos!$A$5:$B$29,2,FALSE),""))</f>
        <v/>
      </c>
      <c r="F99" s="9">
        <f>IF(OR(D99="",E99=""),"",D99+E99)</f>
        <v/>
      </c>
      <c r="G99" s="10">
        <f>IF(F99="","",TODAY()-F99)</f>
        <v/>
      </c>
      <c r="H99" s="11">
        <f>IF(F99="","",IF(G99&lt;0,"Em dia",IF(G99&lt;=15,"Chamar agora",IF(G99&lt;=60,"Sumida","Reativar"))))</f>
        <v/>
      </c>
      <c r="I99" s="12" t="n"/>
      <c r="J99" s="8">
        <f>IF(I99="","",MONTH(I99))</f>
        <v/>
      </c>
      <c r="K99" s="5" t="n"/>
    </row>
    <row r="100">
      <c r="A100" s="5" t="n"/>
      <c r="B100" s="5" t="n"/>
      <c r="C100" s="5" t="n"/>
      <c r="D100" s="7" t="n"/>
      <c r="E100" s="8">
        <f>IF(C100="","",IFERROR(VLOOKUP(C100,Ciclos!$A$5:$B$29,2,FALSE),""))</f>
        <v/>
      </c>
      <c r="F100" s="9">
        <f>IF(OR(D100="",E100=""),"",D100+E100)</f>
        <v/>
      </c>
      <c r="G100" s="10">
        <f>IF(F100="","",TODAY()-F100)</f>
        <v/>
      </c>
      <c r="H100" s="11">
        <f>IF(F100="","",IF(G100&lt;0,"Em dia",IF(G100&lt;=15,"Chamar agora",IF(G100&lt;=60,"Sumida","Reativar"))))</f>
        <v/>
      </c>
      <c r="I100" s="12" t="n"/>
      <c r="J100" s="8">
        <f>IF(I100="","",MONTH(I100))</f>
        <v/>
      </c>
      <c r="K100" s="5" t="n"/>
    </row>
    <row r="101">
      <c r="A101" s="5" t="n"/>
      <c r="B101" s="5" t="n"/>
      <c r="C101" s="5" t="n"/>
      <c r="D101" s="7" t="n"/>
      <c r="E101" s="8">
        <f>IF(C101="","",IFERROR(VLOOKUP(C101,Ciclos!$A$5:$B$29,2,FALSE),""))</f>
        <v/>
      </c>
      <c r="F101" s="9">
        <f>IF(OR(D101="",E101=""),"",D101+E101)</f>
        <v/>
      </c>
      <c r="G101" s="10">
        <f>IF(F101="","",TODAY()-F101)</f>
        <v/>
      </c>
      <c r="H101" s="11">
        <f>IF(F101="","",IF(G101&lt;0,"Em dia",IF(G101&lt;=15,"Chamar agora",IF(G101&lt;=60,"Sumida","Reativar"))))</f>
        <v/>
      </c>
      <c r="I101" s="12" t="n"/>
      <c r="J101" s="8">
        <f>IF(I101="","",MONTH(I101))</f>
        <v/>
      </c>
      <c r="K101" s="5" t="n"/>
    </row>
    <row r="102">
      <c r="A102" s="5" t="n"/>
      <c r="B102" s="5" t="n"/>
      <c r="C102" s="5" t="n"/>
      <c r="D102" s="7" t="n"/>
      <c r="E102" s="8">
        <f>IF(C102="","",IFERROR(VLOOKUP(C102,Ciclos!$A$5:$B$29,2,FALSE),""))</f>
        <v/>
      </c>
      <c r="F102" s="9">
        <f>IF(OR(D102="",E102=""),"",D102+E102)</f>
        <v/>
      </c>
      <c r="G102" s="10">
        <f>IF(F102="","",TODAY()-F102)</f>
        <v/>
      </c>
      <c r="H102" s="11">
        <f>IF(F102="","",IF(G102&lt;0,"Em dia",IF(G102&lt;=15,"Chamar agora",IF(G102&lt;=60,"Sumida","Reativar"))))</f>
        <v/>
      </c>
      <c r="I102" s="12" t="n"/>
      <c r="J102" s="8">
        <f>IF(I102="","",MONTH(I102))</f>
        <v/>
      </c>
      <c r="K102" s="5" t="n"/>
    </row>
    <row r="103">
      <c r="A103" s="5" t="n"/>
      <c r="B103" s="5" t="n"/>
      <c r="C103" s="5" t="n"/>
      <c r="D103" s="7" t="n"/>
      <c r="E103" s="8">
        <f>IF(C103="","",IFERROR(VLOOKUP(C103,Ciclos!$A$5:$B$29,2,FALSE),""))</f>
        <v/>
      </c>
      <c r="F103" s="9">
        <f>IF(OR(D103="",E103=""),"",D103+E103)</f>
        <v/>
      </c>
      <c r="G103" s="10">
        <f>IF(F103="","",TODAY()-F103)</f>
        <v/>
      </c>
      <c r="H103" s="11">
        <f>IF(F103="","",IF(G103&lt;0,"Em dia",IF(G103&lt;=15,"Chamar agora",IF(G103&lt;=60,"Sumida","Reativar"))))</f>
        <v/>
      </c>
      <c r="I103" s="12" t="n"/>
      <c r="J103" s="8">
        <f>IF(I103="","",MONTH(I103))</f>
        <v/>
      </c>
      <c r="K103" s="5" t="n"/>
    </row>
    <row r="104">
      <c r="A104" s="5" t="n"/>
      <c r="B104" s="5" t="n"/>
      <c r="C104" s="5" t="n"/>
      <c r="D104" s="7" t="n"/>
      <c r="E104" s="8">
        <f>IF(C104="","",IFERROR(VLOOKUP(C104,Ciclos!$A$5:$B$29,2,FALSE),""))</f>
        <v/>
      </c>
      <c r="F104" s="9">
        <f>IF(OR(D104="",E104=""),"",D104+E104)</f>
        <v/>
      </c>
      <c r="G104" s="10">
        <f>IF(F104="","",TODAY()-F104)</f>
        <v/>
      </c>
      <c r="H104" s="11">
        <f>IF(F104="","",IF(G104&lt;0,"Em dia",IF(G104&lt;=15,"Chamar agora",IF(G104&lt;=60,"Sumida","Reativar"))))</f>
        <v/>
      </c>
      <c r="I104" s="12" t="n"/>
      <c r="J104" s="8">
        <f>IF(I104="","",MONTH(I104))</f>
        <v/>
      </c>
      <c r="K104" s="5" t="n"/>
    </row>
    <row r="105">
      <c r="A105" s="5" t="n"/>
      <c r="B105" s="5" t="n"/>
      <c r="C105" s="5" t="n"/>
      <c r="D105" s="7" t="n"/>
      <c r="E105" s="8">
        <f>IF(C105="","",IFERROR(VLOOKUP(C105,Ciclos!$A$5:$B$29,2,FALSE),""))</f>
        <v/>
      </c>
      <c r="F105" s="9">
        <f>IF(OR(D105="",E105=""),"",D105+E105)</f>
        <v/>
      </c>
      <c r="G105" s="10">
        <f>IF(F105="","",TODAY()-F105)</f>
        <v/>
      </c>
      <c r="H105" s="11">
        <f>IF(F105="","",IF(G105&lt;0,"Em dia",IF(G105&lt;=15,"Chamar agora",IF(G105&lt;=60,"Sumida","Reativar"))))</f>
        <v/>
      </c>
      <c r="I105" s="12" t="n"/>
      <c r="J105" s="8">
        <f>IF(I105="","",MONTH(I105))</f>
        <v/>
      </c>
      <c r="K105" s="5" t="n"/>
    </row>
    <row r="106">
      <c r="A106" s="5" t="n"/>
      <c r="B106" s="5" t="n"/>
      <c r="C106" s="5" t="n"/>
      <c r="D106" s="7" t="n"/>
      <c r="E106" s="8">
        <f>IF(C106="","",IFERROR(VLOOKUP(C106,Ciclos!$A$5:$B$29,2,FALSE),""))</f>
        <v/>
      </c>
      <c r="F106" s="9">
        <f>IF(OR(D106="",E106=""),"",D106+E106)</f>
        <v/>
      </c>
      <c r="G106" s="10">
        <f>IF(F106="","",TODAY()-F106)</f>
        <v/>
      </c>
      <c r="H106" s="11">
        <f>IF(F106="","",IF(G106&lt;0,"Em dia",IF(G106&lt;=15,"Chamar agora",IF(G106&lt;=60,"Sumida","Reativar"))))</f>
        <v/>
      </c>
      <c r="I106" s="12" t="n"/>
      <c r="J106" s="8">
        <f>IF(I106="","",MONTH(I106))</f>
        <v/>
      </c>
      <c r="K106" s="5" t="n"/>
    </row>
    <row r="107">
      <c r="A107" s="5" t="n"/>
      <c r="B107" s="5" t="n"/>
      <c r="C107" s="5" t="n"/>
      <c r="D107" s="7" t="n"/>
      <c r="E107" s="8">
        <f>IF(C107="","",IFERROR(VLOOKUP(C107,Ciclos!$A$5:$B$29,2,FALSE),""))</f>
        <v/>
      </c>
      <c r="F107" s="9">
        <f>IF(OR(D107="",E107=""),"",D107+E107)</f>
        <v/>
      </c>
      <c r="G107" s="10">
        <f>IF(F107="","",TODAY()-F107)</f>
        <v/>
      </c>
      <c r="H107" s="11">
        <f>IF(F107="","",IF(G107&lt;0,"Em dia",IF(G107&lt;=15,"Chamar agora",IF(G107&lt;=60,"Sumida","Reativar"))))</f>
        <v/>
      </c>
      <c r="I107" s="12" t="n"/>
      <c r="J107" s="8">
        <f>IF(I107="","",MONTH(I107))</f>
        <v/>
      </c>
      <c r="K107" s="5" t="n"/>
    </row>
    <row r="108">
      <c r="A108" s="5" t="n"/>
      <c r="B108" s="5" t="n"/>
      <c r="C108" s="5" t="n"/>
      <c r="D108" s="7" t="n"/>
      <c r="E108" s="8">
        <f>IF(C108="","",IFERROR(VLOOKUP(C108,Ciclos!$A$5:$B$29,2,FALSE),""))</f>
        <v/>
      </c>
      <c r="F108" s="9">
        <f>IF(OR(D108="",E108=""),"",D108+E108)</f>
        <v/>
      </c>
      <c r="G108" s="10">
        <f>IF(F108="","",TODAY()-F108)</f>
        <v/>
      </c>
      <c r="H108" s="11">
        <f>IF(F108="","",IF(G108&lt;0,"Em dia",IF(G108&lt;=15,"Chamar agora",IF(G108&lt;=60,"Sumida","Reativar"))))</f>
        <v/>
      </c>
      <c r="I108" s="12" t="n"/>
      <c r="J108" s="8">
        <f>IF(I108="","",MONTH(I108))</f>
        <v/>
      </c>
      <c r="K108" s="5" t="n"/>
    </row>
    <row r="109">
      <c r="A109" s="5" t="n"/>
      <c r="B109" s="5" t="n"/>
      <c r="C109" s="5" t="n"/>
      <c r="D109" s="7" t="n"/>
      <c r="E109" s="8">
        <f>IF(C109="","",IFERROR(VLOOKUP(C109,Ciclos!$A$5:$B$29,2,FALSE),""))</f>
        <v/>
      </c>
      <c r="F109" s="9">
        <f>IF(OR(D109="",E109=""),"",D109+E109)</f>
        <v/>
      </c>
      <c r="G109" s="10">
        <f>IF(F109="","",TODAY()-F109)</f>
        <v/>
      </c>
      <c r="H109" s="11">
        <f>IF(F109="","",IF(G109&lt;0,"Em dia",IF(G109&lt;=15,"Chamar agora",IF(G109&lt;=60,"Sumida","Reativar"))))</f>
        <v/>
      </c>
      <c r="I109" s="12" t="n"/>
      <c r="J109" s="8">
        <f>IF(I109="","",MONTH(I109))</f>
        <v/>
      </c>
      <c r="K109" s="5" t="n"/>
    </row>
    <row r="110">
      <c r="A110" s="5" t="n"/>
      <c r="B110" s="5" t="n"/>
      <c r="C110" s="5" t="n"/>
      <c r="D110" s="7" t="n"/>
      <c r="E110" s="8">
        <f>IF(C110="","",IFERROR(VLOOKUP(C110,Ciclos!$A$5:$B$29,2,FALSE),""))</f>
        <v/>
      </c>
      <c r="F110" s="9">
        <f>IF(OR(D110="",E110=""),"",D110+E110)</f>
        <v/>
      </c>
      <c r="G110" s="10">
        <f>IF(F110="","",TODAY()-F110)</f>
        <v/>
      </c>
      <c r="H110" s="11">
        <f>IF(F110="","",IF(G110&lt;0,"Em dia",IF(G110&lt;=15,"Chamar agora",IF(G110&lt;=60,"Sumida","Reativar"))))</f>
        <v/>
      </c>
      <c r="I110" s="12" t="n"/>
      <c r="J110" s="8">
        <f>IF(I110="","",MONTH(I110))</f>
        <v/>
      </c>
      <c r="K110" s="5" t="n"/>
    </row>
    <row r="111">
      <c r="A111" s="5" t="n"/>
      <c r="B111" s="5" t="n"/>
      <c r="C111" s="5" t="n"/>
      <c r="D111" s="7" t="n"/>
      <c r="E111" s="8">
        <f>IF(C111="","",IFERROR(VLOOKUP(C111,Ciclos!$A$5:$B$29,2,FALSE),""))</f>
        <v/>
      </c>
      <c r="F111" s="9">
        <f>IF(OR(D111="",E111=""),"",D111+E111)</f>
        <v/>
      </c>
      <c r="G111" s="10">
        <f>IF(F111="","",TODAY()-F111)</f>
        <v/>
      </c>
      <c r="H111" s="11">
        <f>IF(F111="","",IF(G111&lt;0,"Em dia",IF(G111&lt;=15,"Chamar agora",IF(G111&lt;=60,"Sumida","Reativar"))))</f>
        <v/>
      </c>
      <c r="I111" s="12" t="n"/>
      <c r="J111" s="8">
        <f>IF(I111="","",MONTH(I111))</f>
        <v/>
      </c>
      <c r="K111" s="5" t="n"/>
    </row>
    <row r="112">
      <c r="A112" s="5" t="n"/>
      <c r="B112" s="5" t="n"/>
      <c r="C112" s="5" t="n"/>
      <c r="D112" s="7" t="n"/>
      <c r="E112" s="8">
        <f>IF(C112="","",IFERROR(VLOOKUP(C112,Ciclos!$A$5:$B$29,2,FALSE),""))</f>
        <v/>
      </c>
      <c r="F112" s="9">
        <f>IF(OR(D112="",E112=""),"",D112+E112)</f>
        <v/>
      </c>
      <c r="G112" s="10">
        <f>IF(F112="","",TODAY()-F112)</f>
        <v/>
      </c>
      <c r="H112" s="11">
        <f>IF(F112="","",IF(G112&lt;0,"Em dia",IF(G112&lt;=15,"Chamar agora",IF(G112&lt;=60,"Sumida","Reativar"))))</f>
        <v/>
      </c>
      <c r="I112" s="12" t="n"/>
      <c r="J112" s="8">
        <f>IF(I112="","",MONTH(I112))</f>
        <v/>
      </c>
      <c r="K112" s="5" t="n"/>
    </row>
    <row r="113">
      <c r="A113" s="5" t="n"/>
      <c r="B113" s="5" t="n"/>
      <c r="C113" s="5" t="n"/>
      <c r="D113" s="7" t="n"/>
      <c r="E113" s="8">
        <f>IF(C113="","",IFERROR(VLOOKUP(C113,Ciclos!$A$5:$B$29,2,FALSE),""))</f>
        <v/>
      </c>
      <c r="F113" s="9">
        <f>IF(OR(D113="",E113=""),"",D113+E113)</f>
        <v/>
      </c>
      <c r="G113" s="10">
        <f>IF(F113="","",TODAY()-F113)</f>
        <v/>
      </c>
      <c r="H113" s="11">
        <f>IF(F113="","",IF(G113&lt;0,"Em dia",IF(G113&lt;=15,"Chamar agora",IF(G113&lt;=60,"Sumida","Reativar"))))</f>
        <v/>
      </c>
      <c r="I113" s="12" t="n"/>
      <c r="J113" s="8">
        <f>IF(I113="","",MONTH(I113))</f>
        <v/>
      </c>
      <c r="K113" s="5" t="n"/>
    </row>
    <row r="114">
      <c r="A114" s="5" t="n"/>
      <c r="B114" s="5" t="n"/>
      <c r="C114" s="5" t="n"/>
      <c r="D114" s="7" t="n"/>
      <c r="E114" s="8">
        <f>IF(C114="","",IFERROR(VLOOKUP(C114,Ciclos!$A$5:$B$29,2,FALSE),""))</f>
        <v/>
      </c>
      <c r="F114" s="9">
        <f>IF(OR(D114="",E114=""),"",D114+E114)</f>
        <v/>
      </c>
      <c r="G114" s="10">
        <f>IF(F114="","",TODAY()-F114)</f>
        <v/>
      </c>
      <c r="H114" s="11">
        <f>IF(F114="","",IF(G114&lt;0,"Em dia",IF(G114&lt;=15,"Chamar agora",IF(G114&lt;=60,"Sumida","Reativar"))))</f>
        <v/>
      </c>
      <c r="I114" s="12" t="n"/>
      <c r="J114" s="8">
        <f>IF(I114="","",MONTH(I114))</f>
        <v/>
      </c>
      <c r="K114" s="5" t="n"/>
    </row>
    <row r="115">
      <c r="A115" s="5" t="n"/>
      <c r="B115" s="5" t="n"/>
      <c r="C115" s="5" t="n"/>
      <c r="D115" s="7" t="n"/>
      <c r="E115" s="8">
        <f>IF(C115="","",IFERROR(VLOOKUP(C115,Ciclos!$A$5:$B$29,2,FALSE),""))</f>
        <v/>
      </c>
      <c r="F115" s="9">
        <f>IF(OR(D115="",E115=""),"",D115+E115)</f>
        <v/>
      </c>
      <c r="G115" s="10">
        <f>IF(F115="","",TODAY()-F115)</f>
        <v/>
      </c>
      <c r="H115" s="11">
        <f>IF(F115="","",IF(G115&lt;0,"Em dia",IF(G115&lt;=15,"Chamar agora",IF(G115&lt;=60,"Sumida","Reativar"))))</f>
        <v/>
      </c>
      <c r="I115" s="12" t="n"/>
      <c r="J115" s="8">
        <f>IF(I115="","",MONTH(I115))</f>
        <v/>
      </c>
      <c r="K115" s="5" t="n"/>
    </row>
    <row r="116">
      <c r="A116" s="5" t="n"/>
      <c r="B116" s="5" t="n"/>
      <c r="C116" s="5" t="n"/>
      <c r="D116" s="7" t="n"/>
      <c r="E116" s="8">
        <f>IF(C116="","",IFERROR(VLOOKUP(C116,Ciclos!$A$5:$B$29,2,FALSE),""))</f>
        <v/>
      </c>
      <c r="F116" s="9">
        <f>IF(OR(D116="",E116=""),"",D116+E116)</f>
        <v/>
      </c>
      <c r="G116" s="10">
        <f>IF(F116="","",TODAY()-F116)</f>
        <v/>
      </c>
      <c r="H116" s="11">
        <f>IF(F116="","",IF(G116&lt;0,"Em dia",IF(G116&lt;=15,"Chamar agora",IF(G116&lt;=60,"Sumida","Reativar"))))</f>
        <v/>
      </c>
      <c r="I116" s="12" t="n"/>
      <c r="J116" s="8">
        <f>IF(I116="","",MONTH(I116))</f>
        <v/>
      </c>
      <c r="K116" s="5" t="n"/>
    </row>
    <row r="117">
      <c r="A117" s="5" t="n"/>
      <c r="B117" s="5" t="n"/>
      <c r="C117" s="5" t="n"/>
      <c r="D117" s="7" t="n"/>
      <c r="E117" s="8">
        <f>IF(C117="","",IFERROR(VLOOKUP(C117,Ciclos!$A$5:$B$29,2,FALSE),""))</f>
        <v/>
      </c>
      <c r="F117" s="9">
        <f>IF(OR(D117="",E117=""),"",D117+E117)</f>
        <v/>
      </c>
      <c r="G117" s="10">
        <f>IF(F117="","",TODAY()-F117)</f>
        <v/>
      </c>
      <c r="H117" s="11">
        <f>IF(F117="","",IF(G117&lt;0,"Em dia",IF(G117&lt;=15,"Chamar agora",IF(G117&lt;=60,"Sumida","Reativar"))))</f>
        <v/>
      </c>
      <c r="I117" s="12" t="n"/>
      <c r="J117" s="8">
        <f>IF(I117="","",MONTH(I117))</f>
        <v/>
      </c>
      <c r="K117" s="5" t="n"/>
    </row>
    <row r="118">
      <c r="A118" s="5" t="n"/>
      <c r="B118" s="5" t="n"/>
      <c r="C118" s="5" t="n"/>
      <c r="D118" s="7" t="n"/>
      <c r="E118" s="8">
        <f>IF(C118="","",IFERROR(VLOOKUP(C118,Ciclos!$A$5:$B$29,2,FALSE),""))</f>
        <v/>
      </c>
      <c r="F118" s="9">
        <f>IF(OR(D118="",E118=""),"",D118+E118)</f>
        <v/>
      </c>
      <c r="G118" s="10">
        <f>IF(F118="","",TODAY()-F118)</f>
        <v/>
      </c>
      <c r="H118" s="11">
        <f>IF(F118="","",IF(G118&lt;0,"Em dia",IF(G118&lt;=15,"Chamar agora",IF(G118&lt;=60,"Sumida","Reativar"))))</f>
        <v/>
      </c>
      <c r="I118" s="12" t="n"/>
      <c r="J118" s="8">
        <f>IF(I118="","",MONTH(I118))</f>
        <v/>
      </c>
      <c r="K118" s="5" t="n"/>
    </row>
    <row r="119">
      <c r="A119" s="5" t="n"/>
      <c r="B119" s="5" t="n"/>
      <c r="C119" s="5" t="n"/>
      <c r="D119" s="7" t="n"/>
      <c r="E119" s="8">
        <f>IF(C119="","",IFERROR(VLOOKUP(C119,Ciclos!$A$5:$B$29,2,FALSE),""))</f>
        <v/>
      </c>
      <c r="F119" s="9">
        <f>IF(OR(D119="",E119=""),"",D119+E119)</f>
        <v/>
      </c>
      <c r="G119" s="10">
        <f>IF(F119="","",TODAY()-F119)</f>
        <v/>
      </c>
      <c r="H119" s="11">
        <f>IF(F119="","",IF(G119&lt;0,"Em dia",IF(G119&lt;=15,"Chamar agora",IF(G119&lt;=60,"Sumida","Reativar"))))</f>
        <v/>
      </c>
      <c r="I119" s="12" t="n"/>
      <c r="J119" s="8">
        <f>IF(I119="","",MONTH(I119))</f>
        <v/>
      </c>
      <c r="K119" s="5" t="n"/>
    </row>
    <row r="120">
      <c r="A120" s="5" t="n"/>
      <c r="B120" s="5" t="n"/>
      <c r="C120" s="5" t="n"/>
      <c r="D120" s="7" t="n"/>
      <c r="E120" s="8">
        <f>IF(C120="","",IFERROR(VLOOKUP(C120,Ciclos!$A$5:$B$29,2,FALSE),""))</f>
        <v/>
      </c>
      <c r="F120" s="9">
        <f>IF(OR(D120="",E120=""),"",D120+E120)</f>
        <v/>
      </c>
      <c r="G120" s="10">
        <f>IF(F120="","",TODAY()-F120)</f>
        <v/>
      </c>
      <c r="H120" s="11">
        <f>IF(F120="","",IF(G120&lt;0,"Em dia",IF(G120&lt;=15,"Chamar agora",IF(G120&lt;=60,"Sumida","Reativar"))))</f>
        <v/>
      </c>
      <c r="I120" s="12" t="n"/>
      <c r="J120" s="8">
        <f>IF(I120="","",MONTH(I120))</f>
        <v/>
      </c>
      <c r="K120" s="5" t="n"/>
    </row>
    <row r="121">
      <c r="A121" s="5" t="n"/>
      <c r="B121" s="5" t="n"/>
      <c r="C121" s="5" t="n"/>
      <c r="D121" s="7" t="n"/>
      <c r="E121" s="8">
        <f>IF(C121="","",IFERROR(VLOOKUP(C121,Ciclos!$A$5:$B$29,2,FALSE),""))</f>
        <v/>
      </c>
      <c r="F121" s="9">
        <f>IF(OR(D121="",E121=""),"",D121+E121)</f>
        <v/>
      </c>
      <c r="G121" s="10">
        <f>IF(F121="","",TODAY()-F121)</f>
        <v/>
      </c>
      <c r="H121" s="11">
        <f>IF(F121="","",IF(G121&lt;0,"Em dia",IF(G121&lt;=15,"Chamar agora",IF(G121&lt;=60,"Sumida","Reativar"))))</f>
        <v/>
      </c>
      <c r="I121" s="12" t="n"/>
      <c r="J121" s="8">
        <f>IF(I121="","",MONTH(I121))</f>
        <v/>
      </c>
      <c r="K121" s="5" t="n"/>
    </row>
    <row r="122">
      <c r="A122" s="5" t="n"/>
      <c r="B122" s="5" t="n"/>
      <c r="C122" s="5" t="n"/>
      <c r="D122" s="7" t="n"/>
      <c r="E122" s="8">
        <f>IF(C122="","",IFERROR(VLOOKUP(C122,Ciclos!$A$5:$B$29,2,FALSE),""))</f>
        <v/>
      </c>
      <c r="F122" s="9">
        <f>IF(OR(D122="",E122=""),"",D122+E122)</f>
        <v/>
      </c>
      <c r="G122" s="10">
        <f>IF(F122="","",TODAY()-F122)</f>
        <v/>
      </c>
      <c r="H122" s="11">
        <f>IF(F122="","",IF(G122&lt;0,"Em dia",IF(G122&lt;=15,"Chamar agora",IF(G122&lt;=60,"Sumida","Reativar"))))</f>
        <v/>
      </c>
      <c r="I122" s="12" t="n"/>
      <c r="J122" s="8">
        <f>IF(I122="","",MONTH(I122))</f>
        <v/>
      </c>
      <c r="K122" s="5" t="n"/>
    </row>
    <row r="123">
      <c r="A123" s="5" t="n"/>
      <c r="B123" s="5" t="n"/>
      <c r="C123" s="5" t="n"/>
      <c r="D123" s="7" t="n"/>
      <c r="E123" s="8">
        <f>IF(C123="","",IFERROR(VLOOKUP(C123,Ciclos!$A$5:$B$29,2,FALSE),""))</f>
        <v/>
      </c>
      <c r="F123" s="9">
        <f>IF(OR(D123="",E123=""),"",D123+E123)</f>
        <v/>
      </c>
      <c r="G123" s="10">
        <f>IF(F123="","",TODAY()-F123)</f>
        <v/>
      </c>
      <c r="H123" s="11">
        <f>IF(F123="","",IF(G123&lt;0,"Em dia",IF(G123&lt;=15,"Chamar agora",IF(G123&lt;=60,"Sumida","Reativar"))))</f>
        <v/>
      </c>
      <c r="I123" s="12" t="n"/>
      <c r="J123" s="8">
        <f>IF(I123="","",MONTH(I123))</f>
        <v/>
      </c>
      <c r="K123" s="5" t="n"/>
    </row>
    <row r="124">
      <c r="A124" s="5" t="n"/>
      <c r="B124" s="5" t="n"/>
      <c r="C124" s="5" t="n"/>
      <c r="D124" s="7" t="n"/>
      <c r="E124" s="8">
        <f>IF(C124="","",IFERROR(VLOOKUP(C124,Ciclos!$A$5:$B$29,2,FALSE),""))</f>
        <v/>
      </c>
      <c r="F124" s="9">
        <f>IF(OR(D124="",E124=""),"",D124+E124)</f>
        <v/>
      </c>
      <c r="G124" s="10">
        <f>IF(F124="","",TODAY()-F124)</f>
        <v/>
      </c>
      <c r="H124" s="11">
        <f>IF(F124="","",IF(G124&lt;0,"Em dia",IF(G124&lt;=15,"Chamar agora",IF(G124&lt;=60,"Sumida","Reativar"))))</f>
        <v/>
      </c>
      <c r="I124" s="12" t="n"/>
      <c r="J124" s="8">
        <f>IF(I124="","",MONTH(I124))</f>
        <v/>
      </c>
      <c r="K124" s="5" t="n"/>
    </row>
    <row r="125">
      <c r="A125" s="5" t="n"/>
      <c r="B125" s="5" t="n"/>
      <c r="C125" s="5" t="n"/>
      <c r="D125" s="7" t="n"/>
      <c r="E125" s="8">
        <f>IF(C125="","",IFERROR(VLOOKUP(C125,Ciclos!$A$5:$B$29,2,FALSE),""))</f>
        <v/>
      </c>
      <c r="F125" s="9">
        <f>IF(OR(D125="",E125=""),"",D125+E125)</f>
        <v/>
      </c>
      <c r="G125" s="10">
        <f>IF(F125="","",TODAY()-F125)</f>
        <v/>
      </c>
      <c r="H125" s="11">
        <f>IF(F125="","",IF(G125&lt;0,"Em dia",IF(G125&lt;=15,"Chamar agora",IF(G125&lt;=60,"Sumida","Reativar"))))</f>
        <v/>
      </c>
      <c r="I125" s="12" t="n"/>
      <c r="J125" s="8">
        <f>IF(I125="","",MONTH(I125))</f>
        <v/>
      </c>
      <c r="K125" s="5" t="n"/>
    </row>
    <row r="126">
      <c r="A126" s="5" t="n"/>
      <c r="B126" s="5" t="n"/>
      <c r="C126" s="5" t="n"/>
      <c r="D126" s="7" t="n"/>
      <c r="E126" s="8">
        <f>IF(C126="","",IFERROR(VLOOKUP(C126,Ciclos!$A$5:$B$29,2,FALSE),""))</f>
        <v/>
      </c>
      <c r="F126" s="9">
        <f>IF(OR(D126="",E126=""),"",D126+E126)</f>
        <v/>
      </c>
      <c r="G126" s="10">
        <f>IF(F126="","",TODAY()-F126)</f>
        <v/>
      </c>
      <c r="H126" s="11">
        <f>IF(F126="","",IF(G126&lt;0,"Em dia",IF(G126&lt;=15,"Chamar agora",IF(G126&lt;=60,"Sumida","Reativar"))))</f>
        <v/>
      </c>
      <c r="I126" s="12" t="n"/>
      <c r="J126" s="8">
        <f>IF(I126="","",MONTH(I126))</f>
        <v/>
      </c>
      <c r="K126" s="5" t="n"/>
    </row>
    <row r="127">
      <c r="A127" s="5" t="n"/>
      <c r="B127" s="5" t="n"/>
      <c r="C127" s="5" t="n"/>
      <c r="D127" s="7" t="n"/>
      <c r="E127" s="8">
        <f>IF(C127="","",IFERROR(VLOOKUP(C127,Ciclos!$A$5:$B$29,2,FALSE),""))</f>
        <v/>
      </c>
      <c r="F127" s="9">
        <f>IF(OR(D127="",E127=""),"",D127+E127)</f>
        <v/>
      </c>
      <c r="G127" s="10">
        <f>IF(F127="","",TODAY()-F127)</f>
        <v/>
      </c>
      <c r="H127" s="11">
        <f>IF(F127="","",IF(G127&lt;0,"Em dia",IF(G127&lt;=15,"Chamar agora",IF(G127&lt;=60,"Sumida","Reativar"))))</f>
        <v/>
      </c>
      <c r="I127" s="12" t="n"/>
      <c r="J127" s="8">
        <f>IF(I127="","",MONTH(I127))</f>
        <v/>
      </c>
      <c r="K127" s="5" t="n"/>
    </row>
    <row r="128">
      <c r="A128" s="5" t="n"/>
      <c r="B128" s="5" t="n"/>
      <c r="C128" s="5" t="n"/>
      <c r="D128" s="7" t="n"/>
      <c r="E128" s="8">
        <f>IF(C128="","",IFERROR(VLOOKUP(C128,Ciclos!$A$5:$B$29,2,FALSE),""))</f>
        <v/>
      </c>
      <c r="F128" s="9">
        <f>IF(OR(D128="",E128=""),"",D128+E128)</f>
        <v/>
      </c>
      <c r="G128" s="10">
        <f>IF(F128="","",TODAY()-F128)</f>
        <v/>
      </c>
      <c r="H128" s="11">
        <f>IF(F128="","",IF(G128&lt;0,"Em dia",IF(G128&lt;=15,"Chamar agora",IF(G128&lt;=60,"Sumida","Reativar"))))</f>
        <v/>
      </c>
      <c r="I128" s="12" t="n"/>
      <c r="J128" s="8">
        <f>IF(I128="","",MONTH(I128))</f>
        <v/>
      </c>
      <c r="K128" s="5" t="n"/>
    </row>
    <row r="129">
      <c r="A129" s="5" t="n"/>
      <c r="B129" s="5" t="n"/>
      <c r="C129" s="5" t="n"/>
      <c r="D129" s="7" t="n"/>
      <c r="E129" s="8">
        <f>IF(C129="","",IFERROR(VLOOKUP(C129,Ciclos!$A$5:$B$29,2,FALSE),""))</f>
        <v/>
      </c>
      <c r="F129" s="9">
        <f>IF(OR(D129="",E129=""),"",D129+E129)</f>
        <v/>
      </c>
      <c r="G129" s="10">
        <f>IF(F129="","",TODAY()-F129)</f>
        <v/>
      </c>
      <c r="H129" s="11">
        <f>IF(F129="","",IF(G129&lt;0,"Em dia",IF(G129&lt;=15,"Chamar agora",IF(G129&lt;=60,"Sumida","Reativar"))))</f>
        <v/>
      </c>
      <c r="I129" s="12" t="n"/>
      <c r="J129" s="8">
        <f>IF(I129="","",MONTH(I129))</f>
        <v/>
      </c>
      <c r="K129" s="5" t="n"/>
    </row>
    <row r="130">
      <c r="A130" s="5" t="n"/>
      <c r="B130" s="5" t="n"/>
      <c r="C130" s="5" t="n"/>
      <c r="D130" s="7" t="n"/>
      <c r="E130" s="8">
        <f>IF(C130="","",IFERROR(VLOOKUP(C130,Ciclos!$A$5:$B$29,2,FALSE),""))</f>
        <v/>
      </c>
      <c r="F130" s="9">
        <f>IF(OR(D130="",E130=""),"",D130+E130)</f>
        <v/>
      </c>
      <c r="G130" s="10">
        <f>IF(F130="","",TODAY()-F130)</f>
        <v/>
      </c>
      <c r="H130" s="11">
        <f>IF(F130="","",IF(G130&lt;0,"Em dia",IF(G130&lt;=15,"Chamar agora",IF(G130&lt;=60,"Sumida","Reativar"))))</f>
        <v/>
      </c>
      <c r="I130" s="12" t="n"/>
      <c r="J130" s="8">
        <f>IF(I130="","",MONTH(I130))</f>
        <v/>
      </c>
      <c r="K130" s="5" t="n"/>
    </row>
    <row r="131">
      <c r="A131" s="5" t="n"/>
      <c r="B131" s="5" t="n"/>
      <c r="C131" s="5" t="n"/>
      <c r="D131" s="7" t="n"/>
      <c r="E131" s="8">
        <f>IF(C131="","",IFERROR(VLOOKUP(C131,Ciclos!$A$5:$B$29,2,FALSE),""))</f>
        <v/>
      </c>
      <c r="F131" s="9">
        <f>IF(OR(D131="",E131=""),"",D131+E131)</f>
        <v/>
      </c>
      <c r="G131" s="10">
        <f>IF(F131="","",TODAY()-F131)</f>
        <v/>
      </c>
      <c r="H131" s="11">
        <f>IF(F131="","",IF(G131&lt;0,"Em dia",IF(G131&lt;=15,"Chamar agora",IF(G131&lt;=60,"Sumida","Reativar"))))</f>
        <v/>
      </c>
      <c r="I131" s="12" t="n"/>
      <c r="J131" s="8">
        <f>IF(I131="","",MONTH(I131))</f>
        <v/>
      </c>
      <c r="K131" s="5" t="n"/>
    </row>
    <row r="132">
      <c r="A132" s="5" t="n"/>
      <c r="B132" s="5" t="n"/>
      <c r="C132" s="5" t="n"/>
      <c r="D132" s="7" t="n"/>
      <c r="E132" s="8">
        <f>IF(C132="","",IFERROR(VLOOKUP(C132,Ciclos!$A$5:$B$29,2,FALSE),""))</f>
        <v/>
      </c>
      <c r="F132" s="9">
        <f>IF(OR(D132="",E132=""),"",D132+E132)</f>
        <v/>
      </c>
      <c r="G132" s="10">
        <f>IF(F132="","",TODAY()-F132)</f>
        <v/>
      </c>
      <c r="H132" s="11">
        <f>IF(F132="","",IF(G132&lt;0,"Em dia",IF(G132&lt;=15,"Chamar agora",IF(G132&lt;=60,"Sumida","Reativar"))))</f>
        <v/>
      </c>
      <c r="I132" s="12" t="n"/>
      <c r="J132" s="8">
        <f>IF(I132="","",MONTH(I132))</f>
        <v/>
      </c>
      <c r="K132" s="5" t="n"/>
    </row>
    <row r="133">
      <c r="A133" s="5" t="n"/>
      <c r="B133" s="5" t="n"/>
      <c r="C133" s="5" t="n"/>
      <c r="D133" s="7" t="n"/>
      <c r="E133" s="8">
        <f>IF(C133="","",IFERROR(VLOOKUP(C133,Ciclos!$A$5:$B$29,2,FALSE),""))</f>
        <v/>
      </c>
      <c r="F133" s="9">
        <f>IF(OR(D133="",E133=""),"",D133+E133)</f>
        <v/>
      </c>
      <c r="G133" s="10">
        <f>IF(F133="","",TODAY()-F133)</f>
        <v/>
      </c>
      <c r="H133" s="11">
        <f>IF(F133="","",IF(G133&lt;0,"Em dia",IF(G133&lt;=15,"Chamar agora",IF(G133&lt;=60,"Sumida","Reativar"))))</f>
        <v/>
      </c>
      <c r="I133" s="12" t="n"/>
      <c r="J133" s="8">
        <f>IF(I133="","",MONTH(I133))</f>
        <v/>
      </c>
      <c r="K133" s="5" t="n"/>
    </row>
    <row r="134">
      <c r="A134" s="5" t="n"/>
      <c r="B134" s="5" t="n"/>
      <c r="C134" s="5" t="n"/>
      <c r="D134" s="7" t="n"/>
      <c r="E134" s="8">
        <f>IF(C134="","",IFERROR(VLOOKUP(C134,Ciclos!$A$5:$B$29,2,FALSE),""))</f>
        <v/>
      </c>
      <c r="F134" s="9">
        <f>IF(OR(D134="",E134=""),"",D134+E134)</f>
        <v/>
      </c>
      <c r="G134" s="10">
        <f>IF(F134="","",TODAY()-F134)</f>
        <v/>
      </c>
      <c r="H134" s="11">
        <f>IF(F134="","",IF(G134&lt;0,"Em dia",IF(G134&lt;=15,"Chamar agora",IF(G134&lt;=60,"Sumida","Reativar"))))</f>
        <v/>
      </c>
      <c r="I134" s="12" t="n"/>
      <c r="J134" s="8">
        <f>IF(I134="","",MONTH(I134))</f>
        <v/>
      </c>
      <c r="K134" s="5" t="n"/>
    </row>
    <row r="135">
      <c r="A135" s="5" t="n"/>
      <c r="B135" s="5" t="n"/>
      <c r="C135" s="5" t="n"/>
      <c r="D135" s="7" t="n"/>
      <c r="E135" s="8">
        <f>IF(C135="","",IFERROR(VLOOKUP(C135,Ciclos!$A$5:$B$29,2,FALSE),""))</f>
        <v/>
      </c>
      <c r="F135" s="9">
        <f>IF(OR(D135="",E135=""),"",D135+E135)</f>
        <v/>
      </c>
      <c r="G135" s="10">
        <f>IF(F135="","",TODAY()-F135)</f>
        <v/>
      </c>
      <c r="H135" s="11">
        <f>IF(F135="","",IF(G135&lt;0,"Em dia",IF(G135&lt;=15,"Chamar agora",IF(G135&lt;=60,"Sumida","Reativar"))))</f>
        <v/>
      </c>
      <c r="I135" s="12" t="n"/>
      <c r="J135" s="8">
        <f>IF(I135="","",MONTH(I135))</f>
        <v/>
      </c>
      <c r="K135" s="5" t="n"/>
    </row>
    <row r="136">
      <c r="A136" s="5" t="n"/>
      <c r="B136" s="5" t="n"/>
      <c r="C136" s="5" t="n"/>
      <c r="D136" s="7" t="n"/>
      <c r="E136" s="8">
        <f>IF(C136="","",IFERROR(VLOOKUP(C136,Ciclos!$A$5:$B$29,2,FALSE),""))</f>
        <v/>
      </c>
      <c r="F136" s="9">
        <f>IF(OR(D136="",E136=""),"",D136+E136)</f>
        <v/>
      </c>
      <c r="G136" s="10">
        <f>IF(F136="","",TODAY()-F136)</f>
        <v/>
      </c>
      <c r="H136" s="11">
        <f>IF(F136="","",IF(G136&lt;0,"Em dia",IF(G136&lt;=15,"Chamar agora",IF(G136&lt;=60,"Sumida","Reativar"))))</f>
        <v/>
      </c>
      <c r="I136" s="12" t="n"/>
      <c r="J136" s="8">
        <f>IF(I136="","",MONTH(I136))</f>
        <v/>
      </c>
      <c r="K136" s="5" t="n"/>
    </row>
    <row r="137">
      <c r="A137" s="5" t="n"/>
      <c r="B137" s="5" t="n"/>
      <c r="C137" s="5" t="n"/>
      <c r="D137" s="7" t="n"/>
      <c r="E137" s="8">
        <f>IF(C137="","",IFERROR(VLOOKUP(C137,Ciclos!$A$5:$B$29,2,FALSE),""))</f>
        <v/>
      </c>
      <c r="F137" s="9">
        <f>IF(OR(D137="",E137=""),"",D137+E137)</f>
        <v/>
      </c>
      <c r="G137" s="10">
        <f>IF(F137="","",TODAY()-F137)</f>
        <v/>
      </c>
      <c r="H137" s="11">
        <f>IF(F137="","",IF(G137&lt;0,"Em dia",IF(G137&lt;=15,"Chamar agora",IF(G137&lt;=60,"Sumida","Reativar"))))</f>
        <v/>
      </c>
      <c r="I137" s="12" t="n"/>
      <c r="J137" s="8">
        <f>IF(I137="","",MONTH(I137))</f>
        <v/>
      </c>
      <c r="K137" s="5" t="n"/>
    </row>
    <row r="138">
      <c r="A138" s="5" t="n"/>
      <c r="B138" s="5" t="n"/>
      <c r="C138" s="5" t="n"/>
      <c r="D138" s="7" t="n"/>
      <c r="E138" s="8">
        <f>IF(C138="","",IFERROR(VLOOKUP(C138,Ciclos!$A$5:$B$29,2,FALSE),""))</f>
        <v/>
      </c>
      <c r="F138" s="9">
        <f>IF(OR(D138="",E138=""),"",D138+E138)</f>
        <v/>
      </c>
      <c r="G138" s="10">
        <f>IF(F138="","",TODAY()-F138)</f>
        <v/>
      </c>
      <c r="H138" s="11">
        <f>IF(F138="","",IF(G138&lt;0,"Em dia",IF(G138&lt;=15,"Chamar agora",IF(G138&lt;=60,"Sumida","Reativar"))))</f>
        <v/>
      </c>
      <c r="I138" s="12" t="n"/>
      <c r="J138" s="8">
        <f>IF(I138="","",MONTH(I138))</f>
        <v/>
      </c>
      <c r="K138" s="5" t="n"/>
    </row>
    <row r="139">
      <c r="A139" s="5" t="n"/>
      <c r="B139" s="5" t="n"/>
      <c r="C139" s="5" t="n"/>
      <c r="D139" s="7" t="n"/>
      <c r="E139" s="8">
        <f>IF(C139="","",IFERROR(VLOOKUP(C139,Ciclos!$A$5:$B$29,2,FALSE),""))</f>
        <v/>
      </c>
      <c r="F139" s="9">
        <f>IF(OR(D139="",E139=""),"",D139+E139)</f>
        <v/>
      </c>
      <c r="G139" s="10">
        <f>IF(F139="","",TODAY()-F139)</f>
        <v/>
      </c>
      <c r="H139" s="11">
        <f>IF(F139="","",IF(G139&lt;0,"Em dia",IF(G139&lt;=15,"Chamar agora",IF(G139&lt;=60,"Sumida","Reativar"))))</f>
        <v/>
      </c>
      <c r="I139" s="12" t="n"/>
      <c r="J139" s="8">
        <f>IF(I139="","",MONTH(I139))</f>
        <v/>
      </c>
      <c r="K139" s="5" t="n"/>
    </row>
    <row r="140">
      <c r="A140" s="5" t="n"/>
      <c r="B140" s="5" t="n"/>
      <c r="C140" s="5" t="n"/>
      <c r="D140" s="7" t="n"/>
      <c r="E140" s="8">
        <f>IF(C140="","",IFERROR(VLOOKUP(C140,Ciclos!$A$5:$B$29,2,FALSE),""))</f>
        <v/>
      </c>
      <c r="F140" s="9">
        <f>IF(OR(D140="",E140=""),"",D140+E140)</f>
        <v/>
      </c>
      <c r="G140" s="10">
        <f>IF(F140="","",TODAY()-F140)</f>
        <v/>
      </c>
      <c r="H140" s="11">
        <f>IF(F140="","",IF(G140&lt;0,"Em dia",IF(G140&lt;=15,"Chamar agora",IF(G140&lt;=60,"Sumida","Reativar"))))</f>
        <v/>
      </c>
      <c r="I140" s="12" t="n"/>
      <c r="J140" s="8">
        <f>IF(I140="","",MONTH(I140))</f>
        <v/>
      </c>
      <c r="K140" s="5" t="n"/>
    </row>
    <row r="141">
      <c r="A141" s="5" t="n"/>
      <c r="B141" s="5" t="n"/>
      <c r="C141" s="5" t="n"/>
      <c r="D141" s="7" t="n"/>
      <c r="E141" s="8">
        <f>IF(C141="","",IFERROR(VLOOKUP(C141,Ciclos!$A$5:$B$29,2,FALSE),""))</f>
        <v/>
      </c>
      <c r="F141" s="9">
        <f>IF(OR(D141="",E141=""),"",D141+E141)</f>
        <v/>
      </c>
      <c r="G141" s="10">
        <f>IF(F141="","",TODAY()-F141)</f>
        <v/>
      </c>
      <c r="H141" s="11">
        <f>IF(F141="","",IF(G141&lt;0,"Em dia",IF(G141&lt;=15,"Chamar agora",IF(G141&lt;=60,"Sumida","Reativar"))))</f>
        <v/>
      </c>
      <c r="I141" s="12" t="n"/>
      <c r="J141" s="8">
        <f>IF(I141="","",MONTH(I141))</f>
        <v/>
      </c>
      <c r="K141" s="5" t="n"/>
    </row>
    <row r="142">
      <c r="A142" s="5" t="n"/>
      <c r="B142" s="5" t="n"/>
      <c r="C142" s="5" t="n"/>
      <c r="D142" s="7" t="n"/>
      <c r="E142" s="8">
        <f>IF(C142="","",IFERROR(VLOOKUP(C142,Ciclos!$A$5:$B$29,2,FALSE),""))</f>
        <v/>
      </c>
      <c r="F142" s="9">
        <f>IF(OR(D142="",E142=""),"",D142+E142)</f>
        <v/>
      </c>
      <c r="G142" s="10">
        <f>IF(F142="","",TODAY()-F142)</f>
        <v/>
      </c>
      <c r="H142" s="11">
        <f>IF(F142="","",IF(G142&lt;0,"Em dia",IF(G142&lt;=15,"Chamar agora",IF(G142&lt;=60,"Sumida","Reativar"))))</f>
        <v/>
      </c>
      <c r="I142" s="12" t="n"/>
      <c r="J142" s="8">
        <f>IF(I142="","",MONTH(I142))</f>
        <v/>
      </c>
      <c r="K142" s="5" t="n"/>
    </row>
    <row r="143">
      <c r="A143" s="5" t="n"/>
      <c r="B143" s="5" t="n"/>
      <c r="C143" s="5" t="n"/>
      <c r="D143" s="7" t="n"/>
      <c r="E143" s="8">
        <f>IF(C143="","",IFERROR(VLOOKUP(C143,Ciclos!$A$5:$B$29,2,FALSE),""))</f>
        <v/>
      </c>
      <c r="F143" s="9">
        <f>IF(OR(D143="",E143=""),"",D143+E143)</f>
        <v/>
      </c>
      <c r="G143" s="10">
        <f>IF(F143="","",TODAY()-F143)</f>
        <v/>
      </c>
      <c r="H143" s="11">
        <f>IF(F143="","",IF(G143&lt;0,"Em dia",IF(G143&lt;=15,"Chamar agora",IF(G143&lt;=60,"Sumida","Reativar"))))</f>
        <v/>
      </c>
      <c r="I143" s="12" t="n"/>
      <c r="J143" s="8">
        <f>IF(I143="","",MONTH(I143))</f>
        <v/>
      </c>
      <c r="K143" s="5" t="n"/>
    </row>
    <row r="144">
      <c r="A144" s="5" t="n"/>
      <c r="B144" s="5" t="n"/>
      <c r="C144" s="5" t="n"/>
      <c r="D144" s="7" t="n"/>
      <c r="E144" s="8">
        <f>IF(C144="","",IFERROR(VLOOKUP(C144,Ciclos!$A$5:$B$29,2,FALSE),""))</f>
        <v/>
      </c>
      <c r="F144" s="9">
        <f>IF(OR(D144="",E144=""),"",D144+E144)</f>
        <v/>
      </c>
      <c r="G144" s="10">
        <f>IF(F144="","",TODAY()-F144)</f>
        <v/>
      </c>
      <c r="H144" s="11">
        <f>IF(F144="","",IF(G144&lt;0,"Em dia",IF(G144&lt;=15,"Chamar agora",IF(G144&lt;=60,"Sumida","Reativar"))))</f>
        <v/>
      </c>
      <c r="I144" s="12" t="n"/>
      <c r="J144" s="8">
        <f>IF(I144="","",MONTH(I144))</f>
        <v/>
      </c>
      <c r="K144" s="5" t="n"/>
    </row>
    <row r="145">
      <c r="A145" s="5" t="n"/>
      <c r="B145" s="5" t="n"/>
      <c r="C145" s="5" t="n"/>
      <c r="D145" s="7" t="n"/>
      <c r="E145" s="8">
        <f>IF(C145="","",IFERROR(VLOOKUP(C145,Ciclos!$A$5:$B$29,2,FALSE),""))</f>
        <v/>
      </c>
      <c r="F145" s="9">
        <f>IF(OR(D145="",E145=""),"",D145+E145)</f>
        <v/>
      </c>
      <c r="G145" s="10">
        <f>IF(F145="","",TODAY()-F145)</f>
        <v/>
      </c>
      <c r="H145" s="11">
        <f>IF(F145="","",IF(G145&lt;0,"Em dia",IF(G145&lt;=15,"Chamar agora",IF(G145&lt;=60,"Sumida","Reativar"))))</f>
        <v/>
      </c>
      <c r="I145" s="12" t="n"/>
      <c r="J145" s="8">
        <f>IF(I145="","",MONTH(I145))</f>
        <v/>
      </c>
      <c r="K145" s="5" t="n"/>
    </row>
    <row r="146">
      <c r="A146" s="5" t="n"/>
      <c r="B146" s="5" t="n"/>
      <c r="C146" s="5" t="n"/>
      <c r="D146" s="7" t="n"/>
      <c r="E146" s="8">
        <f>IF(C146="","",IFERROR(VLOOKUP(C146,Ciclos!$A$5:$B$29,2,FALSE),""))</f>
        <v/>
      </c>
      <c r="F146" s="9">
        <f>IF(OR(D146="",E146=""),"",D146+E146)</f>
        <v/>
      </c>
      <c r="G146" s="10">
        <f>IF(F146="","",TODAY()-F146)</f>
        <v/>
      </c>
      <c r="H146" s="11">
        <f>IF(F146="","",IF(G146&lt;0,"Em dia",IF(G146&lt;=15,"Chamar agora",IF(G146&lt;=60,"Sumida","Reativar"))))</f>
        <v/>
      </c>
      <c r="I146" s="12" t="n"/>
      <c r="J146" s="8">
        <f>IF(I146="","",MONTH(I146))</f>
        <v/>
      </c>
      <c r="K146" s="5" t="n"/>
    </row>
    <row r="147">
      <c r="A147" s="5" t="n"/>
      <c r="B147" s="5" t="n"/>
      <c r="C147" s="5" t="n"/>
      <c r="D147" s="7" t="n"/>
      <c r="E147" s="8">
        <f>IF(C147="","",IFERROR(VLOOKUP(C147,Ciclos!$A$5:$B$29,2,FALSE),""))</f>
        <v/>
      </c>
      <c r="F147" s="9">
        <f>IF(OR(D147="",E147=""),"",D147+E147)</f>
        <v/>
      </c>
      <c r="G147" s="10">
        <f>IF(F147="","",TODAY()-F147)</f>
        <v/>
      </c>
      <c r="H147" s="11">
        <f>IF(F147="","",IF(G147&lt;0,"Em dia",IF(G147&lt;=15,"Chamar agora",IF(G147&lt;=60,"Sumida","Reativar"))))</f>
        <v/>
      </c>
      <c r="I147" s="12" t="n"/>
      <c r="J147" s="8">
        <f>IF(I147="","",MONTH(I147))</f>
        <v/>
      </c>
      <c r="K147" s="5" t="n"/>
    </row>
    <row r="148">
      <c r="A148" s="5" t="n"/>
      <c r="B148" s="5" t="n"/>
      <c r="C148" s="5" t="n"/>
      <c r="D148" s="7" t="n"/>
      <c r="E148" s="8">
        <f>IF(C148="","",IFERROR(VLOOKUP(C148,Ciclos!$A$5:$B$29,2,FALSE),""))</f>
        <v/>
      </c>
      <c r="F148" s="9">
        <f>IF(OR(D148="",E148=""),"",D148+E148)</f>
        <v/>
      </c>
      <c r="G148" s="10">
        <f>IF(F148="","",TODAY()-F148)</f>
        <v/>
      </c>
      <c r="H148" s="11">
        <f>IF(F148="","",IF(G148&lt;0,"Em dia",IF(G148&lt;=15,"Chamar agora",IF(G148&lt;=60,"Sumida","Reativar"))))</f>
        <v/>
      </c>
      <c r="I148" s="12" t="n"/>
      <c r="J148" s="8">
        <f>IF(I148="","",MONTH(I148))</f>
        <v/>
      </c>
      <c r="K148" s="5" t="n"/>
    </row>
    <row r="149">
      <c r="A149" s="5" t="n"/>
      <c r="B149" s="5" t="n"/>
      <c r="C149" s="5" t="n"/>
      <c r="D149" s="7" t="n"/>
      <c r="E149" s="8">
        <f>IF(C149="","",IFERROR(VLOOKUP(C149,Ciclos!$A$5:$B$29,2,FALSE),""))</f>
        <v/>
      </c>
      <c r="F149" s="9">
        <f>IF(OR(D149="",E149=""),"",D149+E149)</f>
        <v/>
      </c>
      <c r="G149" s="10">
        <f>IF(F149="","",TODAY()-F149)</f>
        <v/>
      </c>
      <c r="H149" s="11">
        <f>IF(F149="","",IF(G149&lt;0,"Em dia",IF(G149&lt;=15,"Chamar agora",IF(G149&lt;=60,"Sumida","Reativar"))))</f>
        <v/>
      </c>
      <c r="I149" s="12" t="n"/>
      <c r="J149" s="8">
        <f>IF(I149="","",MONTH(I149))</f>
        <v/>
      </c>
      <c r="K149" s="5" t="n"/>
    </row>
    <row r="150">
      <c r="A150" s="5" t="n"/>
      <c r="B150" s="5" t="n"/>
      <c r="C150" s="5" t="n"/>
      <c r="D150" s="7" t="n"/>
      <c r="E150" s="8">
        <f>IF(C150="","",IFERROR(VLOOKUP(C150,Ciclos!$A$5:$B$29,2,FALSE),""))</f>
        <v/>
      </c>
      <c r="F150" s="9">
        <f>IF(OR(D150="",E150=""),"",D150+E150)</f>
        <v/>
      </c>
      <c r="G150" s="10">
        <f>IF(F150="","",TODAY()-F150)</f>
        <v/>
      </c>
      <c r="H150" s="11">
        <f>IF(F150="","",IF(G150&lt;0,"Em dia",IF(G150&lt;=15,"Chamar agora",IF(G150&lt;=60,"Sumida","Reativar"))))</f>
        <v/>
      </c>
      <c r="I150" s="12" t="n"/>
      <c r="J150" s="8">
        <f>IF(I150="","",MONTH(I150))</f>
        <v/>
      </c>
      <c r="K150" s="5" t="n"/>
    </row>
    <row r="151">
      <c r="A151" s="5" t="n"/>
      <c r="B151" s="5" t="n"/>
      <c r="C151" s="5" t="n"/>
      <c r="D151" s="7" t="n"/>
      <c r="E151" s="8">
        <f>IF(C151="","",IFERROR(VLOOKUP(C151,Ciclos!$A$5:$B$29,2,FALSE),""))</f>
        <v/>
      </c>
      <c r="F151" s="9">
        <f>IF(OR(D151="",E151=""),"",D151+E151)</f>
        <v/>
      </c>
      <c r="G151" s="10">
        <f>IF(F151="","",TODAY()-F151)</f>
        <v/>
      </c>
      <c r="H151" s="11">
        <f>IF(F151="","",IF(G151&lt;0,"Em dia",IF(G151&lt;=15,"Chamar agora",IF(G151&lt;=60,"Sumida","Reativar"))))</f>
        <v/>
      </c>
      <c r="I151" s="12" t="n"/>
      <c r="J151" s="8">
        <f>IF(I151="","",MONTH(I151))</f>
        <v/>
      </c>
      <c r="K151" s="5" t="n"/>
    </row>
    <row r="152">
      <c r="A152" s="5" t="n"/>
      <c r="B152" s="5" t="n"/>
      <c r="C152" s="5" t="n"/>
      <c r="D152" s="7" t="n"/>
      <c r="E152" s="8">
        <f>IF(C152="","",IFERROR(VLOOKUP(C152,Ciclos!$A$5:$B$29,2,FALSE),""))</f>
        <v/>
      </c>
      <c r="F152" s="9">
        <f>IF(OR(D152="",E152=""),"",D152+E152)</f>
        <v/>
      </c>
      <c r="G152" s="10">
        <f>IF(F152="","",TODAY()-F152)</f>
        <v/>
      </c>
      <c r="H152" s="11">
        <f>IF(F152="","",IF(G152&lt;0,"Em dia",IF(G152&lt;=15,"Chamar agora",IF(G152&lt;=60,"Sumida","Reativar"))))</f>
        <v/>
      </c>
      <c r="I152" s="12" t="n"/>
      <c r="J152" s="8">
        <f>IF(I152="","",MONTH(I152))</f>
        <v/>
      </c>
      <c r="K152" s="5" t="n"/>
    </row>
    <row r="153">
      <c r="A153" s="5" t="n"/>
      <c r="B153" s="5" t="n"/>
      <c r="C153" s="5" t="n"/>
      <c r="D153" s="7" t="n"/>
      <c r="E153" s="8">
        <f>IF(C153="","",IFERROR(VLOOKUP(C153,Ciclos!$A$5:$B$29,2,FALSE),""))</f>
        <v/>
      </c>
      <c r="F153" s="9">
        <f>IF(OR(D153="",E153=""),"",D153+E153)</f>
        <v/>
      </c>
      <c r="G153" s="10">
        <f>IF(F153="","",TODAY()-F153)</f>
        <v/>
      </c>
      <c r="H153" s="11">
        <f>IF(F153="","",IF(G153&lt;0,"Em dia",IF(G153&lt;=15,"Chamar agora",IF(G153&lt;=60,"Sumida","Reativar"))))</f>
        <v/>
      </c>
      <c r="I153" s="12" t="n"/>
      <c r="J153" s="8">
        <f>IF(I153="","",MONTH(I153))</f>
        <v/>
      </c>
      <c r="K153" s="5" t="n"/>
    </row>
    <row r="154">
      <c r="A154" s="5" t="n"/>
      <c r="B154" s="5" t="n"/>
      <c r="C154" s="5" t="n"/>
      <c r="D154" s="7" t="n"/>
      <c r="E154" s="8">
        <f>IF(C154="","",IFERROR(VLOOKUP(C154,Ciclos!$A$5:$B$29,2,FALSE),""))</f>
        <v/>
      </c>
      <c r="F154" s="9">
        <f>IF(OR(D154="",E154=""),"",D154+E154)</f>
        <v/>
      </c>
      <c r="G154" s="10">
        <f>IF(F154="","",TODAY()-F154)</f>
        <v/>
      </c>
      <c r="H154" s="11">
        <f>IF(F154="","",IF(G154&lt;0,"Em dia",IF(G154&lt;=15,"Chamar agora",IF(G154&lt;=60,"Sumida","Reativar"))))</f>
        <v/>
      </c>
      <c r="I154" s="12" t="n"/>
      <c r="J154" s="8">
        <f>IF(I154="","",MONTH(I154))</f>
        <v/>
      </c>
      <c r="K154" s="5" t="n"/>
    </row>
    <row r="155">
      <c r="A155" s="5" t="n"/>
      <c r="B155" s="5" t="n"/>
      <c r="C155" s="5" t="n"/>
      <c r="D155" s="7" t="n"/>
      <c r="E155" s="8">
        <f>IF(C155="","",IFERROR(VLOOKUP(C155,Ciclos!$A$5:$B$29,2,FALSE),""))</f>
        <v/>
      </c>
      <c r="F155" s="9">
        <f>IF(OR(D155="",E155=""),"",D155+E155)</f>
        <v/>
      </c>
      <c r="G155" s="10">
        <f>IF(F155="","",TODAY()-F155)</f>
        <v/>
      </c>
      <c r="H155" s="11">
        <f>IF(F155="","",IF(G155&lt;0,"Em dia",IF(G155&lt;=15,"Chamar agora",IF(G155&lt;=60,"Sumida","Reativar"))))</f>
        <v/>
      </c>
      <c r="I155" s="12" t="n"/>
      <c r="J155" s="8">
        <f>IF(I155="","",MONTH(I155))</f>
        <v/>
      </c>
      <c r="K155" s="5" t="n"/>
    </row>
    <row r="156">
      <c r="A156" s="5" t="n"/>
      <c r="B156" s="5" t="n"/>
      <c r="C156" s="5" t="n"/>
      <c r="D156" s="7" t="n"/>
      <c r="E156" s="8">
        <f>IF(C156="","",IFERROR(VLOOKUP(C156,Ciclos!$A$5:$B$29,2,FALSE),""))</f>
        <v/>
      </c>
      <c r="F156" s="9">
        <f>IF(OR(D156="",E156=""),"",D156+E156)</f>
        <v/>
      </c>
      <c r="G156" s="10">
        <f>IF(F156="","",TODAY()-F156)</f>
        <v/>
      </c>
      <c r="H156" s="11">
        <f>IF(F156="","",IF(G156&lt;0,"Em dia",IF(G156&lt;=15,"Chamar agora",IF(G156&lt;=60,"Sumida","Reativar"))))</f>
        <v/>
      </c>
      <c r="I156" s="12" t="n"/>
      <c r="J156" s="8">
        <f>IF(I156="","",MONTH(I156))</f>
        <v/>
      </c>
      <c r="K156" s="5" t="n"/>
    </row>
    <row r="157">
      <c r="A157" s="5" t="n"/>
      <c r="B157" s="5" t="n"/>
      <c r="C157" s="5" t="n"/>
      <c r="D157" s="7" t="n"/>
      <c r="E157" s="8">
        <f>IF(C157="","",IFERROR(VLOOKUP(C157,Ciclos!$A$5:$B$29,2,FALSE),""))</f>
        <v/>
      </c>
      <c r="F157" s="9">
        <f>IF(OR(D157="",E157=""),"",D157+E157)</f>
        <v/>
      </c>
      <c r="G157" s="10">
        <f>IF(F157="","",TODAY()-F157)</f>
        <v/>
      </c>
      <c r="H157" s="11">
        <f>IF(F157="","",IF(G157&lt;0,"Em dia",IF(G157&lt;=15,"Chamar agora",IF(G157&lt;=60,"Sumida","Reativar"))))</f>
        <v/>
      </c>
      <c r="I157" s="12" t="n"/>
      <c r="J157" s="8">
        <f>IF(I157="","",MONTH(I157))</f>
        <v/>
      </c>
      <c r="K157" s="5" t="n"/>
    </row>
    <row r="158">
      <c r="A158" s="5" t="n"/>
      <c r="B158" s="5" t="n"/>
      <c r="C158" s="5" t="n"/>
      <c r="D158" s="7" t="n"/>
      <c r="E158" s="8">
        <f>IF(C158="","",IFERROR(VLOOKUP(C158,Ciclos!$A$5:$B$29,2,FALSE),""))</f>
        <v/>
      </c>
      <c r="F158" s="9">
        <f>IF(OR(D158="",E158=""),"",D158+E158)</f>
        <v/>
      </c>
      <c r="G158" s="10">
        <f>IF(F158="","",TODAY()-F158)</f>
        <v/>
      </c>
      <c r="H158" s="11">
        <f>IF(F158="","",IF(G158&lt;0,"Em dia",IF(G158&lt;=15,"Chamar agora",IF(G158&lt;=60,"Sumida","Reativar"))))</f>
        <v/>
      </c>
      <c r="I158" s="12" t="n"/>
      <c r="J158" s="8">
        <f>IF(I158="","",MONTH(I158))</f>
        <v/>
      </c>
      <c r="K158" s="5" t="n"/>
    </row>
    <row r="159">
      <c r="A159" s="5" t="n"/>
      <c r="B159" s="5" t="n"/>
      <c r="C159" s="5" t="n"/>
      <c r="D159" s="7" t="n"/>
      <c r="E159" s="8">
        <f>IF(C159="","",IFERROR(VLOOKUP(C159,Ciclos!$A$5:$B$29,2,FALSE),""))</f>
        <v/>
      </c>
      <c r="F159" s="9">
        <f>IF(OR(D159="",E159=""),"",D159+E159)</f>
        <v/>
      </c>
      <c r="G159" s="10">
        <f>IF(F159="","",TODAY()-F159)</f>
        <v/>
      </c>
      <c r="H159" s="11">
        <f>IF(F159="","",IF(G159&lt;0,"Em dia",IF(G159&lt;=15,"Chamar agora",IF(G159&lt;=60,"Sumida","Reativar"))))</f>
        <v/>
      </c>
      <c r="I159" s="12" t="n"/>
      <c r="J159" s="8">
        <f>IF(I159="","",MONTH(I159))</f>
        <v/>
      </c>
      <c r="K159" s="5" t="n"/>
    </row>
    <row r="160">
      <c r="A160" s="5" t="n"/>
      <c r="B160" s="5" t="n"/>
      <c r="C160" s="5" t="n"/>
      <c r="D160" s="7" t="n"/>
      <c r="E160" s="8">
        <f>IF(C160="","",IFERROR(VLOOKUP(C160,Ciclos!$A$5:$B$29,2,FALSE),""))</f>
        <v/>
      </c>
      <c r="F160" s="9">
        <f>IF(OR(D160="",E160=""),"",D160+E160)</f>
        <v/>
      </c>
      <c r="G160" s="10">
        <f>IF(F160="","",TODAY()-F160)</f>
        <v/>
      </c>
      <c r="H160" s="11">
        <f>IF(F160="","",IF(G160&lt;0,"Em dia",IF(G160&lt;=15,"Chamar agora",IF(G160&lt;=60,"Sumida","Reativar"))))</f>
        <v/>
      </c>
      <c r="I160" s="12" t="n"/>
      <c r="J160" s="8">
        <f>IF(I160="","",MONTH(I160))</f>
        <v/>
      </c>
      <c r="K160" s="5" t="n"/>
    </row>
    <row r="161">
      <c r="A161" s="5" t="n"/>
      <c r="B161" s="5" t="n"/>
      <c r="C161" s="5" t="n"/>
      <c r="D161" s="7" t="n"/>
      <c r="E161" s="8">
        <f>IF(C161="","",IFERROR(VLOOKUP(C161,Ciclos!$A$5:$B$29,2,FALSE),""))</f>
        <v/>
      </c>
      <c r="F161" s="9">
        <f>IF(OR(D161="",E161=""),"",D161+E161)</f>
        <v/>
      </c>
      <c r="G161" s="10">
        <f>IF(F161="","",TODAY()-F161)</f>
        <v/>
      </c>
      <c r="H161" s="11">
        <f>IF(F161="","",IF(G161&lt;0,"Em dia",IF(G161&lt;=15,"Chamar agora",IF(G161&lt;=60,"Sumida","Reativar"))))</f>
        <v/>
      </c>
      <c r="I161" s="12" t="n"/>
      <c r="J161" s="8">
        <f>IF(I161="","",MONTH(I161))</f>
        <v/>
      </c>
      <c r="K161" s="5" t="n"/>
    </row>
    <row r="162">
      <c r="A162" s="5" t="n"/>
      <c r="B162" s="5" t="n"/>
      <c r="C162" s="5" t="n"/>
      <c r="D162" s="7" t="n"/>
      <c r="E162" s="8">
        <f>IF(C162="","",IFERROR(VLOOKUP(C162,Ciclos!$A$5:$B$29,2,FALSE),""))</f>
        <v/>
      </c>
      <c r="F162" s="9">
        <f>IF(OR(D162="",E162=""),"",D162+E162)</f>
        <v/>
      </c>
      <c r="G162" s="10">
        <f>IF(F162="","",TODAY()-F162)</f>
        <v/>
      </c>
      <c r="H162" s="11">
        <f>IF(F162="","",IF(G162&lt;0,"Em dia",IF(G162&lt;=15,"Chamar agora",IF(G162&lt;=60,"Sumida","Reativar"))))</f>
        <v/>
      </c>
      <c r="I162" s="12" t="n"/>
      <c r="J162" s="8">
        <f>IF(I162="","",MONTH(I162))</f>
        <v/>
      </c>
      <c r="K162" s="5" t="n"/>
    </row>
    <row r="163">
      <c r="A163" s="5" t="n"/>
      <c r="B163" s="5" t="n"/>
      <c r="C163" s="5" t="n"/>
      <c r="D163" s="7" t="n"/>
      <c r="E163" s="8">
        <f>IF(C163="","",IFERROR(VLOOKUP(C163,Ciclos!$A$5:$B$29,2,FALSE),""))</f>
        <v/>
      </c>
      <c r="F163" s="9">
        <f>IF(OR(D163="",E163=""),"",D163+E163)</f>
        <v/>
      </c>
      <c r="G163" s="10">
        <f>IF(F163="","",TODAY()-F163)</f>
        <v/>
      </c>
      <c r="H163" s="11">
        <f>IF(F163="","",IF(G163&lt;0,"Em dia",IF(G163&lt;=15,"Chamar agora",IF(G163&lt;=60,"Sumida","Reativar"))))</f>
        <v/>
      </c>
      <c r="I163" s="12" t="n"/>
      <c r="J163" s="8">
        <f>IF(I163="","",MONTH(I163))</f>
        <v/>
      </c>
      <c r="K163" s="5" t="n"/>
    </row>
    <row r="164">
      <c r="A164" s="5" t="n"/>
      <c r="B164" s="5" t="n"/>
      <c r="C164" s="5" t="n"/>
      <c r="D164" s="7" t="n"/>
      <c r="E164" s="8">
        <f>IF(C164="","",IFERROR(VLOOKUP(C164,Ciclos!$A$5:$B$29,2,FALSE),""))</f>
        <v/>
      </c>
      <c r="F164" s="9">
        <f>IF(OR(D164="",E164=""),"",D164+E164)</f>
        <v/>
      </c>
      <c r="G164" s="10">
        <f>IF(F164="","",TODAY()-F164)</f>
        <v/>
      </c>
      <c r="H164" s="11">
        <f>IF(F164="","",IF(G164&lt;0,"Em dia",IF(G164&lt;=15,"Chamar agora",IF(G164&lt;=60,"Sumida","Reativar"))))</f>
        <v/>
      </c>
      <c r="I164" s="12" t="n"/>
      <c r="J164" s="8">
        <f>IF(I164="","",MONTH(I164))</f>
        <v/>
      </c>
      <c r="K164" s="5" t="n"/>
    </row>
    <row r="165">
      <c r="A165" s="5" t="n"/>
      <c r="B165" s="5" t="n"/>
      <c r="C165" s="5" t="n"/>
      <c r="D165" s="7" t="n"/>
      <c r="E165" s="8">
        <f>IF(C165="","",IFERROR(VLOOKUP(C165,Ciclos!$A$5:$B$29,2,FALSE),""))</f>
        <v/>
      </c>
      <c r="F165" s="9">
        <f>IF(OR(D165="",E165=""),"",D165+E165)</f>
        <v/>
      </c>
      <c r="G165" s="10">
        <f>IF(F165="","",TODAY()-F165)</f>
        <v/>
      </c>
      <c r="H165" s="11">
        <f>IF(F165="","",IF(G165&lt;0,"Em dia",IF(G165&lt;=15,"Chamar agora",IF(G165&lt;=60,"Sumida","Reativar"))))</f>
        <v/>
      </c>
      <c r="I165" s="12" t="n"/>
      <c r="J165" s="8">
        <f>IF(I165="","",MONTH(I165))</f>
        <v/>
      </c>
      <c r="K165" s="5" t="n"/>
    </row>
    <row r="166">
      <c r="A166" s="5" t="n"/>
      <c r="B166" s="5" t="n"/>
      <c r="C166" s="5" t="n"/>
      <c r="D166" s="7" t="n"/>
      <c r="E166" s="8">
        <f>IF(C166="","",IFERROR(VLOOKUP(C166,Ciclos!$A$5:$B$29,2,FALSE),""))</f>
        <v/>
      </c>
      <c r="F166" s="9">
        <f>IF(OR(D166="",E166=""),"",D166+E166)</f>
        <v/>
      </c>
      <c r="G166" s="10">
        <f>IF(F166="","",TODAY()-F166)</f>
        <v/>
      </c>
      <c r="H166" s="11">
        <f>IF(F166="","",IF(G166&lt;0,"Em dia",IF(G166&lt;=15,"Chamar agora",IF(G166&lt;=60,"Sumida","Reativar"))))</f>
        <v/>
      </c>
      <c r="I166" s="12" t="n"/>
      <c r="J166" s="8">
        <f>IF(I166="","",MONTH(I166))</f>
        <v/>
      </c>
      <c r="K166" s="5" t="n"/>
    </row>
    <row r="167">
      <c r="A167" s="5" t="n"/>
      <c r="B167" s="5" t="n"/>
      <c r="C167" s="5" t="n"/>
      <c r="D167" s="7" t="n"/>
      <c r="E167" s="8">
        <f>IF(C167="","",IFERROR(VLOOKUP(C167,Ciclos!$A$5:$B$29,2,FALSE),""))</f>
        <v/>
      </c>
      <c r="F167" s="9">
        <f>IF(OR(D167="",E167=""),"",D167+E167)</f>
        <v/>
      </c>
      <c r="G167" s="10">
        <f>IF(F167="","",TODAY()-F167)</f>
        <v/>
      </c>
      <c r="H167" s="11">
        <f>IF(F167="","",IF(G167&lt;0,"Em dia",IF(G167&lt;=15,"Chamar agora",IF(G167&lt;=60,"Sumida","Reativar"))))</f>
        <v/>
      </c>
      <c r="I167" s="12" t="n"/>
      <c r="J167" s="8">
        <f>IF(I167="","",MONTH(I167))</f>
        <v/>
      </c>
      <c r="K167" s="5" t="n"/>
    </row>
    <row r="168">
      <c r="A168" s="5" t="n"/>
      <c r="B168" s="5" t="n"/>
      <c r="C168" s="5" t="n"/>
      <c r="D168" s="7" t="n"/>
      <c r="E168" s="8">
        <f>IF(C168="","",IFERROR(VLOOKUP(C168,Ciclos!$A$5:$B$29,2,FALSE),""))</f>
        <v/>
      </c>
      <c r="F168" s="9">
        <f>IF(OR(D168="",E168=""),"",D168+E168)</f>
        <v/>
      </c>
      <c r="G168" s="10">
        <f>IF(F168="","",TODAY()-F168)</f>
        <v/>
      </c>
      <c r="H168" s="11">
        <f>IF(F168="","",IF(G168&lt;0,"Em dia",IF(G168&lt;=15,"Chamar agora",IF(G168&lt;=60,"Sumida","Reativar"))))</f>
        <v/>
      </c>
      <c r="I168" s="12" t="n"/>
      <c r="J168" s="8">
        <f>IF(I168="","",MONTH(I168))</f>
        <v/>
      </c>
      <c r="K168" s="5" t="n"/>
    </row>
    <row r="169">
      <c r="A169" s="5" t="n"/>
      <c r="B169" s="5" t="n"/>
      <c r="C169" s="5" t="n"/>
      <c r="D169" s="7" t="n"/>
      <c r="E169" s="8">
        <f>IF(C169="","",IFERROR(VLOOKUP(C169,Ciclos!$A$5:$B$29,2,FALSE),""))</f>
        <v/>
      </c>
      <c r="F169" s="9">
        <f>IF(OR(D169="",E169=""),"",D169+E169)</f>
        <v/>
      </c>
      <c r="G169" s="10">
        <f>IF(F169="","",TODAY()-F169)</f>
        <v/>
      </c>
      <c r="H169" s="11">
        <f>IF(F169="","",IF(G169&lt;0,"Em dia",IF(G169&lt;=15,"Chamar agora",IF(G169&lt;=60,"Sumida","Reativar"))))</f>
        <v/>
      </c>
      <c r="I169" s="12" t="n"/>
      <c r="J169" s="8">
        <f>IF(I169="","",MONTH(I169))</f>
        <v/>
      </c>
      <c r="K169" s="5" t="n"/>
    </row>
    <row r="170">
      <c r="A170" s="5" t="n"/>
      <c r="B170" s="5" t="n"/>
      <c r="C170" s="5" t="n"/>
      <c r="D170" s="7" t="n"/>
      <c r="E170" s="8">
        <f>IF(C170="","",IFERROR(VLOOKUP(C170,Ciclos!$A$5:$B$29,2,FALSE),""))</f>
        <v/>
      </c>
      <c r="F170" s="9">
        <f>IF(OR(D170="",E170=""),"",D170+E170)</f>
        <v/>
      </c>
      <c r="G170" s="10">
        <f>IF(F170="","",TODAY()-F170)</f>
        <v/>
      </c>
      <c r="H170" s="11">
        <f>IF(F170="","",IF(G170&lt;0,"Em dia",IF(G170&lt;=15,"Chamar agora",IF(G170&lt;=60,"Sumida","Reativar"))))</f>
        <v/>
      </c>
      <c r="I170" s="12" t="n"/>
      <c r="J170" s="8">
        <f>IF(I170="","",MONTH(I170))</f>
        <v/>
      </c>
      <c r="K170" s="5" t="n"/>
    </row>
    <row r="171">
      <c r="A171" s="5" t="n"/>
      <c r="B171" s="5" t="n"/>
      <c r="C171" s="5" t="n"/>
      <c r="D171" s="7" t="n"/>
      <c r="E171" s="8">
        <f>IF(C171="","",IFERROR(VLOOKUP(C171,Ciclos!$A$5:$B$29,2,FALSE),""))</f>
        <v/>
      </c>
      <c r="F171" s="9">
        <f>IF(OR(D171="",E171=""),"",D171+E171)</f>
        <v/>
      </c>
      <c r="G171" s="10">
        <f>IF(F171="","",TODAY()-F171)</f>
        <v/>
      </c>
      <c r="H171" s="11">
        <f>IF(F171="","",IF(G171&lt;0,"Em dia",IF(G171&lt;=15,"Chamar agora",IF(G171&lt;=60,"Sumida","Reativar"))))</f>
        <v/>
      </c>
      <c r="I171" s="12" t="n"/>
      <c r="J171" s="8">
        <f>IF(I171="","",MONTH(I171))</f>
        <v/>
      </c>
      <c r="K171" s="5" t="n"/>
    </row>
    <row r="172">
      <c r="A172" s="5" t="n"/>
      <c r="B172" s="5" t="n"/>
      <c r="C172" s="5" t="n"/>
      <c r="D172" s="7" t="n"/>
      <c r="E172" s="8">
        <f>IF(C172="","",IFERROR(VLOOKUP(C172,Ciclos!$A$5:$B$29,2,FALSE),""))</f>
        <v/>
      </c>
      <c r="F172" s="9">
        <f>IF(OR(D172="",E172=""),"",D172+E172)</f>
        <v/>
      </c>
      <c r="G172" s="10">
        <f>IF(F172="","",TODAY()-F172)</f>
        <v/>
      </c>
      <c r="H172" s="11">
        <f>IF(F172="","",IF(G172&lt;0,"Em dia",IF(G172&lt;=15,"Chamar agora",IF(G172&lt;=60,"Sumida","Reativar"))))</f>
        <v/>
      </c>
      <c r="I172" s="12" t="n"/>
      <c r="J172" s="8">
        <f>IF(I172="","",MONTH(I172))</f>
        <v/>
      </c>
      <c r="K172" s="5" t="n"/>
    </row>
    <row r="173">
      <c r="A173" s="5" t="n"/>
      <c r="B173" s="5" t="n"/>
      <c r="C173" s="5" t="n"/>
      <c r="D173" s="7" t="n"/>
      <c r="E173" s="8">
        <f>IF(C173="","",IFERROR(VLOOKUP(C173,Ciclos!$A$5:$B$29,2,FALSE),""))</f>
        <v/>
      </c>
      <c r="F173" s="9">
        <f>IF(OR(D173="",E173=""),"",D173+E173)</f>
        <v/>
      </c>
      <c r="G173" s="10">
        <f>IF(F173="","",TODAY()-F173)</f>
        <v/>
      </c>
      <c r="H173" s="11">
        <f>IF(F173="","",IF(G173&lt;0,"Em dia",IF(G173&lt;=15,"Chamar agora",IF(G173&lt;=60,"Sumida","Reativar"))))</f>
        <v/>
      </c>
      <c r="I173" s="12" t="n"/>
      <c r="J173" s="8">
        <f>IF(I173="","",MONTH(I173))</f>
        <v/>
      </c>
      <c r="K173" s="5" t="n"/>
    </row>
    <row r="174">
      <c r="A174" s="5" t="n"/>
      <c r="B174" s="5" t="n"/>
      <c r="C174" s="5" t="n"/>
      <c r="D174" s="7" t="n"/>
      <c r="E174" s="8">
        <f>IF(C174="","",IFERROR(VLOOKUP(C174,Ciclos!$A$5:$B$29,2,FALSE),""))</f>
        <v/>
      </c>
      <c r="F174" s="9">
        <f>IF(OR(D174="",E174=""),"",D174+E174)</f>
        <v/>
      </c>
      <c r="G174" s="10">
        <f>IF(F174="","",TODAY()-F174)</f>
        <v/>
      </c>
      <c r="H174" s="11">
        <f>IF(F174="","",IF(G174&lt;0,"Em dia",IF(G174&lt;=15,"Chamar agora",IF(G174&lt;=60,"Sumida","Reativar"))))</f>
        <v/>
      </c>
      <c r="I174" s="12" t="n"/>
      <c r="J174" s="8">
        <f>IF(I174="","",MONTH(I174))</f>
        <v/>
      </c>
      <c r="K174" s="5" t="n"/>
    </row>
    <row r="175">
      <c r="A175" s="5" t="n"/>
      <c r="B175" s="5" t="n"/>
      <c r="C175" s="5" t="n"/>
      <c r="D175" s="7" t="n"/>
      <c r="E175" s="8">
        <f>IF(C175="","",IFERROR(VLOOKUP(C175,Ciclos!$A$5:$B$29,2,FALSE),""))</f>
        <v/>
      </c>
      <c r="F175" s="9">
        <f>IF(OR(D175="",E175=""),"",D175+E175)</f>
        <v/>
      </c>
      <c r="G175" s="10">
        <f>IF(F175="","",TODAY()-F175)</f>
        <v/>
      </c>
      <c r="H175" s="11">
        <f>IF(F175="","",IF(G175&lt;0,"Em dia",IF(G175&lt;=15,"Chamar agora",IF(G175&lt;=60,"Sumida","Reativar"))))</f>
        <v/>
      </c>
      <c r="I175" s="12" t="n"/>
      <c r="J175" s="8">
        <f>IF(I175="","",MONTH(I175))</f>
        <v/>
      </c>
      <c r="K175" s="5" t="n"/>
    </row>
    <row r="176">
      <c r="A176" s="5" t="n"/>
      <c r="B176" s="5" t="n"/>
      <c r="C176" s="5" t="n"/>
      <c r="D176" s="7" t="n"/>
      <c r="E176" s="8">
        <f>IF(C176="","",IFERROR(VLOOKUP(C176,Ciclos!$A$5:$B$29,2,FALSE),""))</f>
        <v/>
      </c>
      <c r="F176" s="9">
        <f>IF(OR(D176="",E176=""),"",D176+E176)</f>
        <v/>
      </c>
      <c r="G176" s="10">
        <f>IF(F176="","",TODAY()-F176)</f>
        <v/>
      </c>
      <c r="H176" s="11">
        <f>IF(F176="","",IF(G176&lt;0,"Em dia",IF(G176&lt;=15,"Chamar agora",IF(G176&lt;=60,"Sumida","Reativar"))))</f>
        <v/>
      </c>
      <c r="I176" s="12" t="n"/>
      <c r="J176" s="8">
        <f>IF(I176="","",MONTH(I176))</f>
        <v/>
      </c>
      <c r="K176" s="5" t="n"/>
    </row>
    <row r="177">
      <c r="A177" s="5" t="n"/>
      <c r="B177" s="5" t="n"/>
      <c r="C177" s="5" t="n"/>
      <c r="D177" s="7" t="n"/>
      <c r="E177" s="8">
        <f>IF(C177="","",IFERROR(VLOOKUP(C177,Ciclos!$A$5:$B$29,2,FALSE),""))</f>
        <v/>
      </c>
      <c r="F177" s="9">
        <f>IF(OR(D177="",E177=""),"",D177+E177)</f>
        <v/>
      </c>
      <c r="G177" s="10">
        <f>IF(F177="","",TODAY()-F177)</f>
        <v/>
      </c>
      <c r="H177" s="11">
        <f>IF(F177="","",IF(G177&lt;0,"Em dia",IF(G177&lt;=15,"Chamar agora",IF(G177&lt;=60,"Sumida","Reativar"))))</f>
        <v/>
      </c>
      <c r="I177" s="12" t="n"/>
      <c r="J177" s="8">
        <f>IF(I177="","",MONTH(I177))</f>
        <v/>
      </c>
      <c r="K177" s="5" t="n"/>
    </row>
    <row r="178">
      <c r="A178" s="5" t="n"/>
      <c r="B178" s="5" t="n"/>
      <c r="C178" s="5" t="n"/>
      <c r="D178" s="7" t="n"/>
      <c r="E178" s="8">
        <f>IF(C178="","",IFERROR(VLOOKUP(C178,Ciclos!$A$5:$B$29,2,FALSE),""))</f>
        <v/>
      </c>
      <c r="F178" s="9">
        <f>IF(OR(D178="",E178=""),"",D178+E178)</f>
        <v/>
      </c>
      <c r="G178" s="10">
        <f>IF(F178="","",TODAY()-F178)</f>
        <v/>
      </c>
      <c r="H178" s="11">
        <f>IF(F178="","",IF(G178&lt;0,"Em dia",IF(G178&lt;=15,"Chamar agora",IF(G178&lt;=60,"Sumida","Reativar"))))</f>
        <v/>
      </c>
      <c r="I178" s="12" t="n"/>
      <c r="J178" s="8">
        <f>IF(I178="","",MONTH(I178))</f>
        <v/>
      </c>
      <c r="K178" s="5" t="n"/>
    </row>
    <row r="179">
      <c r="A179" s="5" t="n"/>
      <c r="B179" s="5" t="n"/>
      <c r="C179" s="5" t="n"/>
      <c r="D179" s="7" t="n"/>
      <c r="E179" s="8">
        <f>IF(C179="","",IFERROR(VLOOKUP(C179,Ciclos!$A$5:$B$29,2,FALSE),""))</f>
        <v/>
      </c>
      <c r="F179" s="9">
        <f>IF(OR(D179="",E179=""),"",D179+E179)</f>
        <v/>
      </c>
      <c r="G179" s="10">
        <f>IF(F179="","",TODAY()-F179)</f>
        <v/>
      </c>
      <c r="H179" s="11">
        <f>IF(F179="","",IF(G179&lt;0,"Em dia",IF(G179&lt;=15,"Chamar agora",IF(G179&lt;=60,"Sumida","Reativar"))))</f>
        <v/>
      </c>
      <c r="I179" s="12" t="n"/>
      <c r="J179" s="8">
        <f>IF(I179="","",MONTH(I179))</f>
        <v/>
      </c>
      <c r="K179" s="5" t="n"/>
    </row>
    <row r="180">
      <c r="A180" s="5" t="n"/>
      <c r="B180" s="5" t="n"/>
      <c r="C180" s="5" t="n"/>
      <c r="D180" s="7" t="n"/>
      <c r="E180" s="8">
        <f>IF(C180="","",IFERROR(VLOOKUP(C180,Ciclos!$A$5:$B$29,2,FALSE),""))</f>
        <v/>
      </c>
      <c r="F180" s="9">
        <f>IF(OR(D180="",E180=""),"",D180+E180)</f>
        <v/>
      </c>
      <c r="G180" s="10">
        <f>IF(F180="","",TODAY()-F180)</f>
        <v/>
      </c>
      <c r="H180" s="11">
        <f>IF(F180="","",IF(G180&lt;0,"Em dia",IF(G180&lt;=15,"Chamar agora",IF(G180&lt;=60,"Sumida","Reativar"))))</f>
        <v/>
      </c>
      <c r="I180" s="12" t="n"/>
      <c r="J180" s="8">
        <f>IF(I180="","",MONTH(I180))</f>
        <v/>
      </c>
      <c r="K180" s="5" t="n"/>
    </row>
    <row r="181">
      <c r="A181" s="5" t="n"/>
      <c r="B181" s="5" t="n"/>
      <c r="C181" s="5" t="n"/>
      <c r="D181" s="7" t="n"/>
      <c r="E181" s="8">
        <f>IF(C181="","",IFERROR(VLOOKUP(C181,Ciclos!$A$5:$B$29,2,FALSE),""))</f>
        <v/>
      </c>
      <c r="F181" s="9">
        <f>IF(OR(D181="",E181=""),"",D181+E181)</f>
        <v/>
      </c>
      <c r="G181" s="10">
        <f>IF(F181="","",TODAY()-F181)</f>
        <v/>
      </c>
      <c r="H181" s="11">
        <f>IF(F181="","",IF(G181&lt;0,"Em dia",IF(G181&lt;=15,"Chamar agora",IF(G181&lt;=60,"Sumida","Reativar"))))</f>
        <v/>
      </c>
      <c r="I181" s="12" t="n"/>
      <c r="J181" s="8">
        <f>IF(I181="","",MONTH(I181))</f>
        <v/>
      </c>
      <c r="K181" s="5" t="n"/>
    </row>
    <row r="182">
      <c r="A182" s="5" t="n"/>
      <c r="B182" s="5" t="n"/>
      <c r="C182" s="5" t="n"/>
      <c r="D182" s="7" t="n"/>
      <c r="E182" s="8">
        <f>IF(C182="","",IFERROR(VLOOKUP(C182,Ciclos!$A$5:$B$29,2,FALSE),""))</f>
        <v/>
      </c>
      <c r="F182" s="9">
        <f>IF(OR(D182="",E182=""),"",D182+E182)</f>
        <v/>
      </c>
      <c r="G182" s="10">
        <f>IF(F182="","",TODAY()-F182)</f>
        <v/>
      </c>
      <c r="H182" s="11">
        <f>IF(F182="","",IF(G182&lt;0,"Em dia",IF(G182&lt;=15,"Chamar agora",IF(G182&lt;=60,"Sumida","Reativar"))))</f>
        <v/>
      </c>
      <c r="I182" s="12" t="n"/>
      <c r="J182" s="8">
        <f>IF(I182="","",MONTH(I182))</f>
        <v/>
      </c>
      <c r="K182" s="5" t="n"/>
    </row>
    <row r="183">
      <c r="A183" s="5" t="n"/>
      <c r="B183" s="5" t="n"/>
      <c r="C183" s="5" t="n"/>
      <c r="D183" s="7" t="n"/>
      <c r="E183" s="8">
        <f>IF(C183="","",IFERROR(VLOOKUP(C183,Ciclos!$A$5:$B$29,2,FALSE),""))</f>
        <v/>
      </c>
      <c r="F183" s="9">
        <f>IF(OR(D183="",E183=""),"",D183+E183)</f>
        <v/>
      </c>
      <c r="G183" s="10">
        <f>IF(F183="","",TODAY()-F183)</f>
        <v/>
      </c>
      <c r="H183" s="11">
        <f>IF(F183="","",IF(G183&lt;0,"Em dia",IF(G183&lt;=15,"Chamar agora",IF(G183&lt;=60,"Sumida","Reativar"))))</f>
        <v/>
      </c>
      <c r="I183" s="12" t="n"/>
      <c r="J183" s="8">
        <f>IF(I183="","",MONTH(I183))</f>
        <v/>
      </c>
      <c r="K183" s="5" t="n"/>
    </row>
    <row r="184">
      <c r="A184" s="5" t="n"/>
      <c r="B184" s="5" t="n"/>
      <c r="C184" s="5" t="n"/>
      <c r="D184" s="7" t="n"/>
      <c r="E184" s="8">
        <f>IF(C184="","",IFERROR(VLOOKUP(C184,Ciclos!$A$5:$B$29,2,FALSE),""))</f>
        <v/>
      </c>
      <c r="F184" s="9">
        <f>IF(OR(D184="",E184=""),"",D184+E184)</f>
        <v/>
      </c>
      <c r="G184" s="10">
        <f>IF(F184="","",TODAY()-F184)</f>
        <v/>
      </c>
      <c r="H184" s="11">
        <f>IF(F184="","",IF(G184&lt;0,"Em dia",IF(G184&lt;=15,"Chamar agora",IF(G184&lt;=60,"Sumida","Reativar"))))</f>
        <v/>
      </c>
      <c r="I184" s="12" t="n"/>
      <c r="J184" s="8">
        <f>IF(I184="","",MONTH(I184))</f>
        <v/>
      </c>
      <c r="K184" s="5" t="n"/>
    </row>
    <row r="185">
      <c r="A185" s="5" t="n"/>
      <c r="B185" s="5" t="n"/>
      <c r="C185" s="5" t="n"/>
      <c r="D185" s="7" t="n"/>
      <c r="E185" s="8">
        <f>IF(C185="","",IFERROR(VLOOKUP(C185,Ciclos!$A$5:$B$29,2,FALSE),""))</f>
        <v/>
      </c>
      <c r="F185" s="9">
        <f>IF(OR(D185="",E185=""),"",D185+E185)</f>
        <v/>
      </c>
      <c r="G185" s="10">
        <f>IF(F185="","",TODAY()-F185)</f>
        <v/>
      </c>
      <c r="H185" s="11">
        <f>IF(F185="","",IF(G185&lt;0,"Em dia",IF(G185&lt;=15,"Chamar agora",IF(G185&lt;=60,"Sumida","Reativar"))))</f>
        <v/>
      </c>
      <c r="I185" s="12" t="n"/>
      <c r="J185" s="8">
        <f>IF(I185="","",MONTH(I185))</f>
        <v/>
      </c>
      <c r="K185" s="5" t="n"/>
    </row>
    <row r="186">
      <c r="A186" s="5" t="n"/>
      <c r="B186" s="5" t="n"/>
      <c r="C186" s="5" t="n"/>
      <c r="D186" s="7" t="n"/>
      <c r="E186" s="8">
        <f>IF(C186="","",IFERROR(VLOOKUP(C186,Ciclos!$A$5:$B$29,2,FALSE),""))</f>
        <v/>
      </c>
      <c r="F186" s="9">
        <f>IF(OR(D186="",E186=""),"",D186+E186)</f>
        <v/>
      </c>
      <c r="G186" s="10">
        <f>IF(F186="","",TODAY()-F186)</f>
        <v/>
      </c>
      <c r="H186" s="11">
        <f>IF(F186="","",IF(G186&lt;0,"Em dia",IF(G186&lt;=15,"Chamar agora",IF(G186&lt;=60,"Sumida","Reativar"))))</f>
        <v/>
      </c>
      <c r="I186" s="12" t="n"/>
      <c r="J186" s="8">
        <f>IF(I186="","",MONTH(I186))</f>
        <v/>
      </c>
      <c r="K186" s="5" t="n"/>
    </row>
    <row r="187">
      <c r="A187" s="5" t="n"/>
      <c r="B187" s="5" t="n"/>
      <c r="C187" s="5" t="n"/>
      <c r="D187" s="7" t="n"/>
      <c r="E187" s="8">
        <f>IF(C187="","",IFERROR(VLOOKUP(C187,Ciclos!$A$5:$B$29,2,FALSE),""))</f>
        <v/>
      </c>
      <c r="F187" s="9">
        <f>IF(OR(D187="",E187=""),"",D187+E187)</f>
        <v/>
      </c>
      <c r="G187" s="10">
        <f>IF(F187="","",TODAY()-F187)</f>
        <v/>
      </c>
      <c r="H187" s="11">
        <f>IF(F187="","",IF(G187&lt;0,"Em dia",IF(G187&lt;=15,"Chamar agora",IF(G187&lt;=60,"Sumida","Reativar"))))</f>
        <v/>
      </c>
      <c r="I187" s="12" t="n"/>
      <c r="J187" s="8">
        <f>IF(I187="","",MONTH(I187))</f>
        <v/>
      </c>
      <c r="K187" s="5" t="n"/>
    </row>
    <row r="188">
      <c r="A188" s="5" t="n"/>
      <c r="B188" s="5" t="n"/>
      <c r="C188" s="5" t="n"/>
      <c r="D188" s="7" t="n"/>
      <c r="E188" s="8">
        <f>IF(C188="","",IFERROR(VLOOKUP(C188,Ciclos!$A$5:$B$29,2,FALSE),""))</f>
        <v/>
      </c>
      <c r="F188" s="9">
        <f>IF(OR(D188="",E188=""),"",D188+E188)</f>
        <v/>
      </c>
      <c r="G188" s="10">
        <f>IF(F188="","",TODAY()-F188)</f>
        <v/>
      </c>
      <c r="H188" s="11">
        <f>IF(F188="","",IF(G188&lt;0,"Em dia",IF(G188&lt;=15,"Chamar agora",IF(G188&lt;=60,"Sumida","Reativar"))))</f>
        <v/>
      </c>
      <c r="I188" s="12" t="n"/>
      <c r="J188" s="8">
        <f>IF(I188="","",MONTH(I188))</f>
        <v/>
      </c>
      <c r="K188" s="5" t="n"/>
    </row>
    <row r="189">
      <c r="A189" s="5" t="n"/>
      <c r="B189" s="5" t="n"/>
      <c r="C189" s="5" t="n"/>
      <c r="D189" s="7" t="n"/>
      <c r="E189" s="8">
        <f>IF(C189="","",IFERROR(VLOOKUP(C189,Ciclos!$A$5:$B$29,2,FALSE),""))</f>
        <v/>
      </c>
      <c r="F189" s="9">
        <f>IF(OR(D189="",E189=""),"",D189+E189)</f>
        <v/>
      </c>
      <c r="G189" s="10">
        <f>IF(F189="","",TODAY()-F189)</f>
        <v/>
      </c>
      <c r="H189" s="11">
        <f>IF(F189="","",IF(G189&lt;0,"Em dia",IF(G189&lt;=15,"Chamar agora",IF(G189&lt;=60,"Sumida","Reativar"))))</f>
        <v/>
      </c>
      <c r="I189" s="12" t="n"/>
      <c r="J189" s="8">
        <f>IF(I189="","",MONTH(I189))</f>
        <v/>
      </c>
      <c r="K189" s="5" t="n"/>
    </row>
    <row r="190">
      <c r="A190" s="5" t="n"/>
      <c r="B190" s="5" t="n"/>
      <c r="C190" s="5" t="n"/>
      <c r="D190" s="7" t="n"/>
      <c r="E190" s="8">
        <f>IF(C190="","",IFERROR(VLOOKUP(C190,Ciclos!$A$5:$B$29,2,FALSE),""))</f>
        <v/>
      </c>
      <c r="F190" s="9">
        <f>IF(OR(D190="",E190=""),"",D190+E190)</f>
        <v/>
      </c>
      <c r="G190" s="10">
        <f>IF(F190="","",TODAY()-F190)</f>
        <v/>
      </c>
      <c r="H190" s="11">
        <f>IF(F190="","",IF(G190&lt;0,"Em dia",IF(G190&lt;=15,"Chamar agora",IF(G190&lt;=60,"Sumida","Reativar"))))</f>
        <v/>
      </c>
      <c r="I190" s="12" t="n"/>
      <c r="J190" s="8">
        <f>IF(I190="","",MONTH(I190))</f>
        <v/>
      </c>
      <c r="K190" s="5" t="n"/>
    </row>
    <row r="191">
      <c r="A191" s="5" t="n"/>
      <c r="B191" s="5" t="n"/>
      <c r="C191" s="5" t="n"/>
      <c r="D191" s="7" t="n"/>
      <c r="E191" s="8">
        <f>IF(C191="","",IFERROR(VLOOKUP(C191,Ciclos!$A$5:$B$29,2,FALSE),""))</f>
        <v/>
      </c>
      <c r="F191" s="9">
        <f>IF(OR(D191="",E191=""),"",D191+E191)</f>
        <v/>
      </c>
      <c r="G191" s="10">
        <f>IF(F191="","",TODAY()-F191)</f>
        <v/>
      </c>
      <c r="H191" s="11">
        <f>IF(F191="","",IF(G191&lt;0,"Em dia",IF(G191&lt;=15,"Chamar agora",IF(G191&lt;=60,"Sumida","Reativar"))))</f>
        <v/>
      </c>
      <c r="I191" s="12" t="n"/>
      <c r="J191" s="8">
        <f>IF(I191="","",MONTH(I191))</f>
        <v/>
      </c>
      <c r="K191" s="5" t="n"/>
    </row>
    <row r="192">
      <c r="A192" s="5" t="n"/>
      <c r="B192" s="5" t="n"/>
      <c r="C192" s="5" t="n"/>
      <c r="D192" s="7" t="n"/>
      <c r="E192" s="8">
        <f>IF(C192="","",IFERROR(VLOOKUP(C192,Ciclos!$A$5:$B$29,2,FALSE),""))</f>
        <v/>
      </c>
      <c r="F192" s="9">
        <f>IF(OR(D192="",E192=""),"",D192+E192)</f>
        <v/>
      </c>
      <c r="G192" s="10">
        <f>IF(F192="","",TODAY()-F192)</f>
        <v/>
      </c>
      <c r="H192" s="11">
        <f>IF(F192="","",IF(G192&lt;0,"Em dia",IF(G192&lt;=15,"Chamar agora",IF(G192&lt;=60,"Sumida","Reativar"))))</f>
        <v/>
      </c>
      <c r="I192" s="12" t="n"/>
      <c r="J192" s="8">
        <f>IF(I192="","",MONTH(I192))</f>
        <v/>
      </c>
      <c r="K192" s="5" t="n"/>
    </row>
    <row r="193">
      <c r="A193" s="5" t="n"/>
      <c r="B193" s="5" t="n"/>
      <c r="C193" s="5" t="n"/>
      <c r="D193" s="7" t="n"/>
      <c r="E193" s="8">
        <f>IF(C193="","",IFERROR(VLOOKUP(C193,Ciclos!$A$5:$B$29,2,FALSE),""))</f>
        <v/>
      </c>
      <c r="F193" s="9">
        <f>IF(OR(D193="",E193=""),"",D193+E193)</f>
        <v/>
      </c>
      <c r="G193" s="10">
        <f>IF(F193="","",TODAY()-F193)</f>
        <v/>
      </c>
      <c r="H193" s="11">
        <f>IF(F193="","",IF(G193&lt;0,"Em dia",IF(G193&lt;=15,"Chamar agora",IF(G193&lt;=60,"Sumida","Reativar"))))</f>
        <v/>
      </c>
      <c r="I193" s="12" t="n"/>
      <c r="J193" s="8">
        <f>IF(I193="","",MONTH(I193))</f>
        <v/>
      </c>
      <c r="K193" s="5" t="n"/>
    </row>
    <row r="194">
      <c r="A194" s="5" t="n"/>
      <c r="B194" s="5" t="n"/>
      <c r="C194" s="5" t="n"/>
      <c r="D194" s="7" t="n"/>
      <c r="E194" s="8">
        <f>IF(C194="","",IFERROR(VLOOKUP(C194,Ciclos!$A$5:$B$29,2,FALSE),""))</f>
        <v/>
      </c>
      <c r="F194" s="9">
        <f>IF(OR(D194="",E194=""),"",D194+E194)</f>
        <v/>
      </c>
      <c r="G194" s="10">
        <f>IF(F194="","",TODAY()-F194)</f>
        <v/>
      </c>
      <c r="H194" s="11">
        <f>IF(F194="","",IF(G194&lt;0,"Em dia",IF(G194&lt;=15,"Chamar agora",IF(G194&lt;=60,"Sumida","Reativar"))))</f>
        <v/>
      </c>
      <c r="I194" s="12" t="n"/>
      <c r="J194" s="8">
        <f>IF(I194="","",MONTH(I194))</f>
        <v/>
      </c>
      <c r="K194" s="5" t="n"/>
    </row>
    <row r="195">
      <c r="A195" s="5" t="n"/>
      <c r="B195" s="5" t="n"/>
      <c r="C195" s="5" t="n"/>
      <c r="D195" s="7" t="n"/>
      <c r="E195" s="8">
        <f>IF(C195="","",IFERROR(VLOOKUP(C195,Ciclos!$A$5:$B$29,2,FALSE),""))</f>
        <v/>
      </c>
      <c r="F195" s="9">
        <f>IF(OR(D195="",E195=""),"",D195+E195)</f>
        <v/>
      </c>
      <c r="G195" s="10">
        <f>IF(F195="","",TODAY()-F195)</f>
        <v/>
      </c>
      <c r="H195" s="11">
        <f>IF(F195="","",IF(G195&lt;0,"Em dia",IF(G195&lt;=15,"Chamar agora",IF(G195&lt;=60,"Sumida","Reativar"))))</f>
        <v/>
      </c>
      <c r="I195" s="12" t="n"/>
      <c r="J195" s="8">
        <f>IF(I195="","",MONTH(I195))</f>
        <v/>
      </c>
      <c r="K195" s="5" t="n"/>
    </row>
    <row r="196">
      <c r="A196" s="5" t="n"/>
      <c r="B196" s="5" t="n"/>
      <c r="C196" s="5" t="n"/>
      <c r="D196" s="7" t="n"/>
      <c r="E196" s="8">
        <f>IF(C196="","",IFERROR(VLOOKUP(C196,Ciclos!$A$5:$B$29,2,FALSE),""))</f>
        <v/>
      </c>
      <c r="F196" s="9">
        <f>IF(OR(D196="",E196=""),"",D196+E196)</f>
        <v/>
      </c>
      <c r="G196" s="10">
        <f>IF(F196="","",TODAY()-F196)</f>
        <v/>
      </c>
      <c r="H196" s="11">
        <f>IF(F196="","",IF(G196&lt;0,"Em dia",IF(G196&lt;=15,"Chamar agora",IF(G196&lt;=60,"Sumida","Reativar"))))</f>
        <v/>
      </c>
      <c r="I196" s="12" t="n"/>
      <c r="J196" s="8">
        <f>IF(I196="","",MONTH(I196))</f>
        <v/>
      </c>
      <c r="K196" s="5" t="n"/>
    </row>
    <row r="197">
      <c r="A197" s="5" t="n"/>
      <c r="B197" s="5" t="n"/>
      <c r="C197" s="5" t="n"/>
      <c r="D197" s="7" t="n"/>
      <c r="E197" s="8">
        <f>IF(C197="","",IFERROR(VLOOKUP(C197,Ciclos!$A$5:$B$29,2,FALSE),""))</f>
        <v/>
      </c>
      <c r="F197" s="9">
        <f>IF(OR(D197="",E197=""),"",D197+E197)</f>
        <v/>
      </c>
      <c r="G197" s="10">
        <f>IF(F197="","",TODAY()-F197)</f>
        <v/>
      </c>
      <c r="H197" s="11">
        <f>IF(F197="","",IF(G197&lt;0,"Em dia",IF(G197&lt;=15,"Chamar agora",IF(G197&lt;=60,"Sumida","Reativar"))))</f>
        <v/>
      </c>
      <c r="I197" s="12" t="n"/>
      <c r="J197" s="8">
        <f>IF(I197="","",MONTH(I197))</f>
        <v/>
      </c>
      <c r="K197" s="5" t="n"/>
    </row>
    <row r="198">
      <c r="A198" s="5" t="n"/>
      <c r="B198" s="5" t="n"/>
      <c r="C198" s="5" t="n"/>
      <c r="D198" s="7" t="n"/>
      <c r="E198" s="8">
        <f>IF(C198="","",IFERROR(VLOOKUP(C198,Ciclos!$A$5:$B$29,2,FALSE),""))</f>
        <v/>
      </c>
      <c r="F198" s="9">
        <f>IF(OR(D198="",E198=""),"",D198+E198)</f>
        <v/>
      </c>
      <c r="G198" s="10">
        <f>IF(F198="","",TODAY()-F198)</f>
        <v/>
      </c>
      <c r="H198" s="11">
        <f>IF(F198="","",IF(G198&lt;0,"Em dia",IF(G198&lt;=15,"Chamar agora",IF(G198&lt;=60,"Sumida","Reativar"))))</f>
        <v/>
      </c>
      <c r="I198" s="12" t="n"/>
      <c r="J198" s="8">
        <f>IF(I198="","",MONTH(I198))</f>
        <v/>
      </c>
      <c r="K198" s="5" t="n"/>
    </row>
    <row r="199">
      <c r="A199" s="5" t="n"/>
      <c r="B199" s="5" t="n"/>
      <c r="C199" s="5" t="n"/>
      <c r="D199" s="7" t="n"/>
      <c r="E199" s="8">
        <f>IF(C199="","",IFERROR(VLOOKUP(C199,Ciclos!$A$5:$B$29,2,FALSE),""))</f>
        <v/>
      </c>
      <c r="F199" s="9">
        <f>IF(OR(D199="",E199=""),"",D199+E199)</f>
        <v/>
      </c>
      <c r="G199" s="10">
        <f>IF(F199="","",TODAY()-F199)</f>
        <v/>
      </c>
      <c r="H199" s="11">
        <f>IF(F199="","",IF(G199&lt;0,"Em dia",IF(G199&lt;=15,"Chamar agora",IF(G199&lt;=60,"Sumida","Reativar"))))</f>
        <v/>
      </c>
      <c r="I199" s="12" t="n"/>
      <c r="J199" s="8">
        <f>IF(I199="","",MONTH(I199))</f>
        <v/>
      </c>
      <c r="K199" s="5" t="n"/>
    </row>
    <row r="200">
      <c r="A200" s="5" t="n"/>
      <c r="B200" s="5" t="n"/>
      <c r="C200" s="5" t="n"/>
      <c r="D200" s="7" t="n"/>
      <c r="E200" s="8">
        <f>IF(C200="","",IFERROR(VLOOKUP(C200,Ciclos!$A$5:$B$29,2,FALSE),""))</f>
        <v/>
      </c>
      <c r="F200" s="9">
        <f>IF(OR(D200="",E200=""),"",D200+E200)</f>
        <v/>
      </c>
      <c r="G200" s="10">
        <f>IF(F200="","",TODAY()-F200)</f>
        <v/>
      </c>
      <c r="H200" s="11">
        <f>IF(F200="","",IF(G200&lt;0,"Em dia",IF(G200&lt;=15,"Chamar agora",IF(G200&lt;=60,"Sumida","Reativar"))))</f>
        <v/>
      </c>
      <c r="I200" s="12" t="n"/>
      <c r="J200" s="8">
        <f>IF(I200="","",MONTH(I200))</f>
        <v/>
      </c>
      <c r="K200" s="5" t="n"/>
    </row>
    <row r="201">
      <c r="A201" s="5" t="n"/>
      <c r="B201" s="5" t="n"/>
      <c r="C201" s="5" t="n"/>
      <c r="D201" s="7" t="n"/>
      <c r="E201" s="8">
        <f>IF(C201="","",IFERROR(VLOOKUP(C201,Ciclos!$A$5:$B$29,2,FALSE),""))</f>
        <v/>
      </c>
      <c r="F201" s="9">
        <f>IF(OR(D201="",E201=""),"",D201+E201)</f>
        <v/>
      </c>
      <c r="G201" s="10">
        <f>IF(F201="","",TODAY()-F201)</f>
        <v/>
      </c>
      <c r="H201" s="11">
        <f>IF(F201="","",IF(G201&lt;0,"Em dia",IF(G201&lt;=15,"Chamar agora",IF(G201&lt;=60,"Sumida","Reativar"))))</f>
        <v/>
      </c>
      <c r="I201" s="12" t="n"/>
      <c r="J201" s="8">
        <f>IF(I201="","",MONTH(I201))</f>
        <v/>
      </c>
      <c r="K201" s="5" t="n"/>
    </row>
    <row r="202">
      <c r="A202" s="5" t="n"/>
      <c r="B202" s="5" t="n"/>
      <c r="C202" s="5" t="n"/>
      <c r="D202" s="7" t="n"/>
      <c r="E202" s="8">
        <f>IF(C202="","",IFERROR(VLOOKUP(C202,Ciclos!$A$5:$B$29,2,FALSE),""))</f>
        <v/>
      </c>
      <c r="F202" s="9">
        <f>IF(OR(D202="",E202=""),"",D202+E202)</f>
        <v/>
      </c>
      <c r="G202" s="10">
        <f>IF(F202="","",TODAY()-F202)</f>
        <v/>
      </c>
      <c r="H202" s="11">
        <f>IF(F202="","",IF(G202&lt;0,"Em dia",IF(G202&lt;=15,"Chamar agora",IF(G202&lt;=60,"Sumida","Reativar"))))</f>
        <v/>
      </c>
      <c r="I202" s="12" t="n"/>
      <c r="J202" s="8">
        <f>IF(I202="","",MONTH(I202))</f>
        <v/>
      </c>
      <c r="K202" s="5" t="n"/>
    </row>
    <row r="203">
      <c r="A203" s="5" t="n"/>
      <c r="B203" s="5" t="n"/>
      <c r="C203" s="5" t="n"/>
      <c r="D203" s="7" t="n"/>
      <c r="E203" s="8">
        <f>IF(C203="","",IFERROR(VLOOKUP(C203,Ciclos!$A$5:$B$29,2,FALSE),""))</f>
        <v/>
      </c>
      <c r="F203" s="9">
        <f>IF(OR(D203="",E203=""),"",D203+E203)</f>
        <v/>
      </c>
      <c r="G203" s="10">
        <f>IF(F203="","",TODAY()-F203)</f>
        <v/>
      </c>
      <c r="H203" s="11">
        <f>IF(F203="","",IF(G203&lt;0,"Em dia",IF(G203&lt;=15,"Chamar agora",IF(G203&lt;=60,"Sumida","Reativar"))))</f>
        <v/>
      </c>
      <c r="I203" s="12" t="n"/>
      <c r="J203" s="8">
        <f>IF(I203="","",MONTH(I203))</f>
        <v/>
      </c>
      <c r="K203" s="5" t="n"/>
    </row>
    <row r="204">
      <c r="A204" s="5" t="n"/>
      <c r="B204" s="5" t="n"/>
      <c r="C204" s="5" t="n"/>
      <c r="D204" s="7" t="n"/>
      <c r="E204" s="8">
        <f>IF(C204="","",IFERROR(VLOOKUP(C204,Ciclos!$A$5:$B$29,2,FALSE),""))</f>
        <v/>
      </c>
      <c r="F204" s="9">
        <f>IF(OR(D204="",E204=""),"",D204+E204)</f>
        <v/>
      </c>
      <c r="G204" s="10">
        <f>IF(F204="","",TODAY()-F204)</f>
        <v/>
      </c>
      <c r="H204" s="11">
        <f>IF(F204="","",IF(G204&lt;0,"Em dia",IF(G204&lt;=15,"Chamar agora",IF(G204&lt;=60,"Sumida","Reativar"))))</f>
        <v/>
      </c>
      <c r="I204" s="12" t="n"/>
      <c r="J204" s="8">
        <f>IF(I204="","",MONTH(I204))</f>
        <v/>
      </c>
      <c r="K204" s="5" t="n"/>
    </row>
    <row r="205">
      <c r="A205" s="5" t="n"/>
      <c r="B205" s="5" t="n"/>
      <c r="C205" s="5" t="n"/>
      <c r="D205" s="7" t="n"/>
      <c r="E205" s="8">
        <f>IF(C205="","",IFERROR(VLOOKUP(C205,Ciclos!$A$5:$B$29,2,FALSE),""))</f>
        <v/>
      </c>
      <c r="F205" s="9">
        <f>IF(OR(D205="",E205=""),"",D205+E205)</f>
        <v/>
      </c>
      <c r="G205" s="10">
        <f>IF(F205="","",TODAY()-F205)</f>
        <v/>
      </c>
      <c r="H205" s="11">
        <f>IF(F205="","",IF(G205&lt;0,"Em dia",IF(G205&lt;=15,"Chamar agora",IF(G205&lt;=60,"Sumida","Reativar"))))</f>
        <v/>
      </c>
      <c r="I205" s="12" t="n"/>
      <c r="J205" s="8">
        <f>IF(I205="","",MONTH(I205))</f>
        <v/>
      </c>
      <c r="K205" s="5" t="n"/>
    </row>
    <row r="206">
      <c r="A206" s="5" t="n"/>
      <c r="B206" s="5" t="n"/>
      <c r="C206" s="5" t="n"/>
      <c r="D206" s="7" t="n"/>
      <c r="E206" s="8">
        <f>IF(C206="","",IFERROR(VLOOKUP(C206,Ciclos!$A$5:$B$29,2,FALSE),""))</f>
        <v/>
      </c>
      <c r="F206" s="9">
        <f>IF(OR(D206="",E206=""),"",D206+E206)</f>
        <v/>
      </c>
      <c r="G206" s="10">
        <f>IF(F206="","",TODAY()-F206)</f>
        <v/>
      </c>
      <c r="H206" s="11">
        <f>IF(F206="","",IF(G206&lt;0,"Em dia",IF(G206&lt;=15,"Chamar agora",IF(G206&lt;=60,"Sumida","Reativar"))))</f>
        <v/>
      </c>
      <c r="I206" s="12" t="n"/>
      <c r="J206" s="8">
        <f>IF(I206="","",MONTH(I206))</f>
        <v/>
      </c>
      <c r="K206" s="5" t="n"/>
    </row>
    <row r="207">
      <c r="A207" s="5" t="n"/>
      <c r="B207" s="5" t="n"/>
      <c r="C207" s="5" t="n"/>
      <c r="D207" s="7" t="n"/>
      <c r="E207" s="8">
        <f>IF(C207="","",IFERROR(VLOOKUP(C207,Ciclos!$A$5:$B$29,2,FALSE),""))</f>
        <v/>
      </c>
      <c r="F207" s="9">
        <f>IF(OR(D207="",E207=""),"",D207+E207)</f>
        <v/>
      </c>
      <c r="G207" s="10">
        <f>IF(F207="","",TODAY()-F207)</f>
        <v/>
      </c>
      <c r="H207" s="11">
        <f>IF(F207="","",IF(G207&lt;0,"Em dia",IF(G207&lt;=15,"Chamar agora",IF(G207&lt;=60,"Sumida","Reativar"))))</f>
        <v/>
      </c>
      <c r="I207" s="12" t="n"/>
      <c r="J207" s="8">
        <f>IF(I207="","",MONTH(I207))</f>
        <v/>
      </c>
      <c r="K207" s="5" t="n"/>
    </row>
    <row r="208">
      <c r="A208" s="5" t="n"/>
      <c r="B208" s="5" t="n"/>
      <c r="C208" s="5" t="n"/>
      <c r="D208" s="7" t="n"/>
      <c r="E208" s="8">
        <f>IF(C208="","",IFERROR(VLOOKUP(C208,Ciclos!$A$5:$B$29,2,FALSE),""))</f>
        <v/>
      </c>
      <c r="F208" s="9">
        <f>IF(OR(D208="",E208=""),"",D208+E208)</f>
        <v/>
      </c>
      <c r="G208" s="10">
        <f>IF(F208="","",TODAY()-F208)</f>
        <v/>
      </c>
      <c r="H208" s="11">
        <f>IF(F208="","",IF(G208&lt;0,"Em dia",IF(G208&lt;=15,"Chamar agora",IF(G208&lt;=60,"Sumida","Reativar"))))</f>
        <v/>
      </c>
      <c r="I208" s="12" t="n"/>
      <c r="J208" s="8">
        <f>IF(I208="","",MONTH(I208))</f>
        <v/>
      </c>
      <c r="K208" s="5" t="n"/>
    </row>
    <row r="209">
      <c r="A209" s="5" t="n"/>
      <c r="B209" s="5" t="n"/>
      <c r="C209" s="5" t="n"/>
      <c r="D209" s="7" t="n"/>
      <c r="E209" s="8">
        <f>IF(C209="","",IFERROR(VLOOKUP(C209,Ciclos!$A$5:$B$29,2,FALSE),""))</f>
        <v/>
      </c>
      <c r="F209" s="9">
        <f>IF(OR(D209="",E209=""),"",D209+E209)</f>
        <v/>
      </c>
      <c r="G209" s="10">
        <f>IF(F209="","",TODAY()-F209)</f>
        <v/>
      </c>
      <c r="H209" s="11">
        <f>IF(F209="","",IF(G209&lt;0,"Em dia",IF(G209&lt;=15,"Chamar agora",IF(G209&lt;=60,"Sumida","Reativar"))))</f>
        <v/>
      </c>
      <c r="I209" s="12" t="n"/>
      <c r="J209" s="8">
        <f>IF(I209="","",MONTH(I209))</f>
        <v/>
      </c>
      <c r="K209" s="5" t="n"/>
    </row>
    <row r="210">
      <c r="A210" s="5" t="n"/>
      <c r="B210" s="5" t="n"/>
      <c r="C210" s="5" t="n"/>
      <c r="D210" s="7" t="n"/>
      <c r="E210" s="8">
        <f>IF(C210="","",IFERROR(VLOOKUP(C210,Ciclos!$A$5:$B$29,2,FALSE),""))</f>
        <v/>
      </c>
      <c r="F210" s="9">
        <f>IF(OR(D210="",E210=""),"",D210+E210)</f>
        <v/>
      </c>
      <c r="G210" s="10">
        <f>IF(F210="","",TODAY()-F210)</f>
        <v/>
      </c>
      <c r="H210" s="11">
        <f>IF(F210="","",IF(G210&lt;0,"Em dia",IF(G210&lt;=15,"Chamar agora",IF(G210&lt;=60,"Sumida","Reativar"))))</f>
        <v/>
      </c>
      <c r="I210" s="12" t="n"/>
      <c r="J210" s="8">
        <f>IF(I210="","",MONTH(I210))</f>
        <v/>
      </c>
      <c r="K210" s="5" t="n"/>
    </row>
    <row r="211">
      <c r="A211" s="5" t="n"/>
      <c r="B211" s="5" t="n"/>
      <c r="C211" s="5" t="n"/>
      <c r="D211" s="7" t="n"/>
      <c r="E211" s="8">
        <f>IF(C211="","",IFERROR(VLOOKUP(C211,Ciclos!$A$5:$B$29,2,FALSE),""))</f>
        <v/>
      </c>
      <c r="F211" s="9">
        <f>IF(OR(D211="",E211=""),"",D211+E211)</f>
        <v/>
      </c>
      <c r="G211" s="10">
        <f>IF(F211="","",TODAY()-F211)</f>
        <v/>
      </c>
      <c r="H211" s="11">
        <f>IF(F211="","",IF(G211&lt;0,"Em dia",IF(G211&lt;=15,"Chamar agora",IF(G211&lt;=60,"Sumida","Reativar"))))</f>
        <v/>
      </c>
      <c r="I211" s="12" t="n"/>
      <c r="J211" s="8">
        <f>IF(I211="","",MONTH(I211))</f>
        <v/>
      </c>
      <c r="K211" s="5" t="n"/>
    </row>
    <row r="212">
      <c r="A212" s="5" t="n"/>
      <c r="B212" s="5" t="n"/>
      <c r="C212" s="5" t="n"/>
      <c r="D212" s="7" t="n"/>
      <c r="E212" s="8">
        <f>IF(C212="","",IFERROR(VLOOKUP(C212,Ciclos!$A$5:$B$29,2,FALSE),""))</f>
        <v/>
      </c>
      <c r="F212" s="9">
        <f>IF(OR(D212="",E212=""),"",D212+E212)</f>
        <v/>
      </c>
      <c r="G212" s="10">
        <f>IF(F212="","",TODAY()-F212)</f>
        <v/>
      </c>
      <c r="H212" s="11">
        <f>IF(F212="","",IF(G212&lt;0,"Em dia",IF(G212&lt;=15,"Chamar agora",IF(G212&lt;=60,"Sumida","Reativar"))))</f>
        <v/>
      </c>
      <c r="I212" s="12" t="n"/>
      <c r="J212" s="8">
        <f>IF(I212="","",MONTH(I212))</f>
        <v/>
      </c>
      <c r="K212" s="5" t="n"/>
    </row>
    <row r="213">
      <c r="A213" s="5" t="n"/>
      <c r="B213" s="5" t="n"/>
      <c r="C213" s="5" t="n"/>
      <c r="D213" s="7" t="n"/>
      <c r="E213" s="8">
        <f>IF(C213="","",IFERROR(VLOOKUP(C213,Ciclos!$A$5:$B$29,2,FALSE),""))</f>
        <v/>
      </c>
      <c r="F213" s="9">
        <f>IF(OR(D213="",E213=""),"",D213+E213)</f>
        <v/>
      </c>
      <c r="G213" s="10">
        <f>IF(F213="","",TODAY()-F213)</f>
        <v/>
      </c>
      <c r="H213" s="11">
        <f>IF(F213="","",IF(G213&lt;0,"Em dia",IF(G213&lt;=15,"Chamar agora",IF(G213&lt;=60,"Sumida","Reativar"))))</f>
        <v/>
      </c>
      <c r="I213" s="12" t="n"/>
      <c r="J213" s="8">
        <f>IF(I213="","",MONTH(I213))</f>
        <v/>
      </c>
      <c r="K213" s="5" t="n"/>
    </row>
    <row r="214">
      <c r="A214" s="5" t="n"/>
      <c r="B214" s="5" t="n"/>
      <c r="C214" s="5" t="n"/>
      <c r="D214" s="7" t="n"/>
      <c r="E214" s="8">
        <f>IF(C214="","",IFERROR(VLOOKUP(C214,Ciclos!$A$5:$B$29,2,FALSE),""))</f>
        <v/>
      </c>
      <c r="F214" s="9">
        <f>IF(OR(D214="",E214=""),"",D214+E214)</f>
        <v/>
      </c>
      <c r="G214" s="10">
        <f>IF(F214="","",TODAY()-F214)</f>
        <v/>
      </c>
      <c r="H214" s="11">
        <f>IF(F214="","",IF(G214&lt;0,"Em dia",IF(G214&lt;=15,"Chamar agora",IF(G214&lt;=60,"Sumida","Reativar"))))</f>
        <v/>
      </c>
      <c r="I214" s="12" t="n"/>
      <c r="J214" s="8">
        <f>IF(I214="","",MONTH(I214))</f>
        <v/>
      </c>
      <c r="K214" s="5" t="n"/>
    </row>
    <row r="215">
      <c r="A215" s="5" t="n"/>
      <c r="B215" s="5" t="n"/>
      <c r="C215" s="5" t="n"/>
      <c r="D215" s="7" t="n"/>
      <c r="E215" s="8">
        <f>IF(C215="","",IFERROR(VLOOKUP(C215,Ciclos!$A$5:$B$29,2,FALSE),""))</f>
        <v/>
      </c>
      <c r="F215" s="9">
        <f>IF(OR(D215="",E215=""),"",D215+E215)</f>
        <v/>
      </c>
      <c r="G215" s="10">
        <f>IF(F215="","",TODAY()-F215)</f>
        <v/>
      </c>
      <c r="H215" s="11">
        <f>IF(F215="","",IF(G215&lt;0,"Em dia",IF(G215&lt;=15,"Chamar agora",IF(G215&lt;=60,"Sumida","Reativar"))))</f>
        <v/>
      </c>
      <c r="I215" s="12" t="n"/>
      <c r="J215" s="8">
        <f>IF(I215="","",MONTH(I215))</f>
        <v/>
      </c>
      <c r="K215" s="5" t="n"/>
    </row>
    <row r="216">
      <c r="A216" s="5" t="n"/>
      <c r="B216" s="5" t="n"/>
      <c r="C216" s="5" t="n"/>
      <c r="D216" s="7" t="n"/>
      <c r="E216" s="8">
        <f>IF(C216="","",IFERROR(VLOOKUP(C216,Ciclos!$A$5:$B$29,2,FALSE),""))</f>
        <v/>
      </c>
      <c r="F216" s="9">
        <f>IF(OR(D216="",E216=""),"",D216+E216)</f>
        <v/>
      </c>
      <c r="G216" s="10">
        <f>IF(F216="","",TODAY()-F216)</f>
        <v/>
      </c>
      <c r="H216" s="11">
        <f>IF(F216="","",IF(G216&lt;0,"Em dia",IF(G216&lt;=15,"Chamar agora",IF(G216&lt;=60,"Sumida","Reativar"))))</f>
        <v/>
      </c>
      <c r="I216" s="12" t="n"/>
      <c r="J216" s="8">
        <f>IF(I216="","",MONTH(I216))</f>
        <v/>
      </c>
      <c r="K216" s="5" t="n"/>
    </row>
    <row r="217">
      <c r="A217" s="5" t="n"/>
      <c r="B217" s="5" t="n"/>
      <c r="C217" s="5" t="n"/>
      <c r="D217" s="7" t="n"/>
      <c r="E217" s="8">
        <f>IF(C217="","",IFERROR(VLOOKUP(C217,Ciclos!$A$5:$B$29,2,FALSE),""))</f>
        <v/>
      </c>
      <c r="F217" s="9">
        <f>IF(OR(D217="",E217=""),"",D217+E217)</f>
        <v/>
      </c>
      <c r="G217" s="10">
        <f>IF(F217="","",TODAY()-F217)</f>
        <v/>
      </c>
      <c r="H217" s="11">
        <f>IF(F217="","",IF(G217&lt;0,"Em dia",IF(G217&lt;=15,"Chamar agora",IF(G217&lt;=60,"Sumida","Reativar"))))</f>
        <v/>
      </c>
      <c r="I217" s="12" t="n"/>
      <c r="J217" s="8">
        <f>IF(I217="","",MONTH(I217))</f>
        <v/>
      </c>
      <c r="K217" s="5" t="n"/>
    </row>
    <row r="218">
      <c r="A218" s="5" t="n"/>
      <c r="B218" s="5" t="n"/>
      <c r="C218" s="5" t="n"/>
      <c r="D218" s="7" t="n"/>
      <c r="E218" s="8">
        <f>IF(C218="","",IFERROR(VLOOKUP(C218,Ciclos!$A$5:$B$29,2,FALSE),""))</f>
        <v/>
      </c>
      <c r="F218" s="9">
        <f>IF(OR(D218="",E218=""),"",D218+E218)</f>
        <v/>
      </c>
      <c r="G218" s="10">
        <f>IF(F218="","",TODAY()-F218)</f>
        <v/>
      </c>
      <c r="H218" s="11">
        <f>IF(F218="","",IF(G218&lt;0,"Em dia",IF(G218&lt;=15,"Chamar agora",IF(G218&lt;=60,"Sumida","Reativar"))))</f>
        <v/>
      </c>
      <c r="I218" s="12" t="n"/>
      <c r="J218" s="8">
        <f>IF(I218="","",MONTH(I218))</f>
        <v/>
      </c>
      <c r="K218" s="5" t="n"/>
    </row>
    <row r="219">
      <c r="A219" s="5" t="n"/>
      <c r="B219" s="5" t="n"/>
      <c r="C219" s="5" t="n"/>
      <c r="D219" s="7" t="n"/>
      <c r="E219" s="8">
        <f>IF(C219="","",IFERROR(VLOOKUP(C219,Ciclos!$A$5:$B$29,2,FALSE),""))</f>
        <v/>
      </c>
      <c r="F219" s="9">
        <f>IF(OR(D219="",E219=""),"",D219+E219)</f>
        <v/>
      </c>
      <c r="G219" s="10">
        <f>IF(F219="","",TODAY()-F219)</f>
        <v/>
      </c>
      <c r="H219" s="11">
        <f>IF(F219="","",IF(G219&lt;0,"Em dia",IF(G219&lt;=15,"Chamar agora",IF(G219&lt;=60,"Sumida","Reativar"))))</f>
        <v/>
      </c>
      <c r="I219" s="12" t="n"/>
      <c r="J219" s="8">
        <f>IF(I219="","",MONTH(I219))</f>
        <v/>
      </c>
      <c r="K219" s="5" t="n"/>
    </row>
    <row r="220">
      <c r="A220" s="5" t="n"/>
      <c r="B220" s="5" t="n"/>
      <c r="C220" s="5" t="n"/>
      <c r="D220" s="7" t="n"/>
      <c r="E220" s="8">
        <f>IF(C220="","",IFERROR(VLOOKUP(C220,Ciclos!$A$5:$B$29,2,FALSE),""))</f>
        <v/>
      </c>
      <c r="F220" s="9">
        <f>IF(OR(D220="",E220=""),"",D220+E220)</f>
        <v/>
      </c>
      <c r="G220" s="10">
        <f>IF(F220="","",TODAY()-F220)</f>
        <v/>
      </c>
      <c r="H220" s="11">
        <f>IF(F220="","",IF(G220&lt;0,"Em dia",IF(G220&lt;=15,"Chamar agora",IF(G220&lt;=60,"Sumida","Reativar"))))</f>
        <v/>
      </c>
      <c r="I220" s="12" t="n"/>
      <c r="J220" s="8">
        <f>IF(I220="","",MONTH(I220))</f>
        <v/>
      </c>
      <c r="K220" s="5" t="n"/>
    </row>
    <row r="221">
      <c r="A221" s="5" t="n"/>
      <c r="B221" s="5" t="n"/>
      <c r="C221" s="5" t="n"/>
      <c r="D221" s="7" t="n"/>
      <c r="E221" s="8">
        <f>IF(C221="","",IFERROR(VLOOKUP(C221,Ciclos!$A$5:$B$29,2,FALSE),""))</f>
        <v/>
      </c>
      <c r="F221" s="9">
        <f>IF(OR(D221="",E221=""),"",D221+E221)</f>
        <v/>
      </c>
      <c r="G221" s="10">
        <f>IF(F221="","",TODAY()-F221)</f>
        <v/>
      </c>
      <c r="H221" s="11">
        <f>IF(F221="","",IF(G221&lt;0,"Em dia",IF(G221&lt;=15,"Chamar agora",IF(G221&lt;=60,"Sumida","Reativar"))))</f>
        <v/>
      </c>
      <c r="I221" s="12" t="n"/>
      <c r="J221" s="8">
        <f>IF(I221="","",MONTH(I221))</f>
        <v/>
      </c>
      <c r="K221" s="5" t="n"/>
    </row>
    <row r="222">
      <c r="A222" s="5" t="n"/>
      <c r="B222" s="5" t="n"/>
      <c r="C222" s="5" t="n"/>
      <c r="D222" s="7" t="n"/>
      <c r="E222" s="8">
        <f>IF(C222="","",IFERROR(VLOOKUP(C222,Ciclos!$A$5:$B$29,2,FALSE),""))</f>
        <v/>
      </c>
      <c r="F222" s="9">
        <f>IF(OR(D222="",E222=""),"",D222+E222)</f>
        <v/>
      </c>
      <c r="G222" s="10">
        <f>IF(F222="","",TODAY()-F222)</f>
        <v/>
      </c>
      <c r="H222" s="11">
        <f>IF(F222="","",IF(G222&lt;0,"Em dia",IF(G222&lt;=15,"Chamar agora",IF(G222&lt;=60,"Sumida","Reativar"))))</f>
        <v/>
      </c>
      <c r="I222" s="12" t="n"/>
      <c r="J222" s="8">
        <f>IF(I222="","",MONTH(I222))</f>
        <v/>
      </c>
      <c r="K222" s="5" t="n"/>
    </row>
    <row r="223">
      <c r="A223" s="5" t="n"/>
      <c r="B223" s="5" t="n"/>
      <c r="C223" s="5" t="n"/>
      <c r="D223" s="7" t="n"/>
      <c r="E223" s="8">
        <f>IF(C223="","",IFERROR(VLOOKUP(C223,Ciclos!$A$5:$B$29,2,FALSE),""))</f>
        <v/>
      </c>
      <c r="F223" s="9">
        <f>IF(OR(D223="",E223=""),"",D223+E223)</f>
        <v/>
      </c>
      <c r="G223" s="10">
        <f>IF(F223="","",TODAY()-F223)</f>
        <v/>
      </c>
      <c r="H223" s="11">
        <f>IF(F223="","",IF(G223&lt;0,"Em dia",IF(G223&lt;=15,"Chamar agora",IF(G223&lt;=60,"Sumida","Reativar"))))</f>
        <v/>
      </c>
      <c r="I223" s="12" t="n"/>
      <c r="J223" s="8">
        <f>IF(I223="","",MONTH(I223))</f>
        <v/>
      </c>
      <c r="K223" s="5" t="n"/>
    </row>
    <row r="224">
      <c r="A224" s="5" t="n"/>
      <c r="B224" s="5" t="n"/>
      <c r="C224" s="5" t="n"/>
      <c r="D224" s="7" t="n"/>
      <c r="E224" s="8">
        <f>IF(C224="","",IFERROR(VLOOKUP(C224,Ciclos!$A$5:$B$29,2,FALSE),""))</f>
        <v/>
      </c>
      <c r="F224" s="9">
        <f>IF(OR(D224="",E224=""),"",D224+E224)</f>
        <v/>
      </c>
      <c r="G224" s="10">
        <f>IF(F224="","",TODAY()-F224)</f>
        <v/>
      </c>
      <c r="H224" s="11">
        <f>IF(F224="","",IF(G224&lt;0,"Em dia",IF(G224&lt;=15,"Chamar agora",IF(G224&lt;=60,"Sumida","Reativar"))))</f>
        <v/>
      </c>
      <c r="I224" s="12" t="n"/>
      <c r="J224" s="8">
        <f>IF(I224="","",MONTH(I224))</f>
        <v/>
      </c>
      <c r="K224" s="5" t="n"/>
    </row>
    <row r="225">
      <c r="A225" s="5" t="n"/>
      <c r="B225" s="5" t="n"/>
      <c r="C225" s="5" t="n"/>
      <c r="D225" s="7" t="n"/>
      <c r="E225" s="8">
        <f>IF(C225="","",IFERROR(VLOOKUP(C225,Ciclos!$A$5:$B$29,2,FALSE),""))</f>
        <v/>
      </c>
      <c r="F225" s="9">
        <f>IF(OR(D225="",E225=""),"",D225+E225)</f>
        <v/>
      </c>
      <c r="G225" s="10">
        <f>IF(F225="","",TODAY()-F225)</f>
        <v/>
      </c>
      <c r="H225" s="11">
        <f>IF(F225="","",IF(G225&lt;0,"Em dia",IF(G225&lt;=15,"Chamar agora",IF(G225&lt;=60,"Sumida","Reativar"))))</f>
        <v/>
      </c>
      <c r="I225" s="12" t="n"/>
      <c r="J225" s="8">
        <f>IF(I225="","",MONTH(I225))</f>
        <v/>
      </c>
      <c r="K225" s="5" t="n"/>
    </row>
    <row r="226">
      <c r="A226" s="5" t="n"/>
      <c r="B226" s="5" t="n"/>
      <c r="C226" s="5" t="n"/>
      <c r="D226" s="7" t="n"/>
      <c r="E226" s="8">
        <f>IF(C226="","",IFERROR(VLOOKUP(C226,Ciclos!$A$5:$B$29,2,FALSE),""))</f>
        <v/>
      </c>
      <c r="F226" s="9">
        <f>IF(OR(D226="",E226=""),"",D226+E226)</f>
        <v/>
      </c>
      <c r="G226" s="10">
        <f>IF(F226="","",TODAY()-F226)</f>
        <v/>
      </c>
      <c r="H226" s="11">
        <f>IF(F226="","",IF(G226&lt;0,"Em dia",IF(G226&lt;=15,"Chamar agora",IF(G226&lt;=60,"Sumida","Reativar"))))</f>
        <v/>
      </c>
      <c r="I226" s="12" t="n"/>
      <c r="J226" s="8">
        <f>IF(I226="","",MONTH(I226))</f>
        <v/>
      </c>
      <c r="K226" s="5" t="n"/>
    </row>
    <row r="227">
      <c r="A227" s="5" t="n"/>
      <c r="B227" s="5" t="n"/>
      <c r="C227" s="5" t="n"/>
      <c r="D227" s="7" t="n"/>
      <c r="E227" s="8">
        <f>IF(C227="","",IFERROR(VLOOKUP(C227,Ciclos!$A$5:$B$29,2,FALSE),""))</f>
        <v/>
      </c>
      <c r="F227" s="9">
        <f>IF(OR(D227="",E227=""),"",D227+E227)</f>
        <v/>
      </c>
      <c r="G227" s="10">
        <f>IF(F227="","",TODAY()-F227)</f>
        <v/>
      </c>
      <c r="H227" s="11">
        <f>IF(F227="","",IF(G227&lt;0,"Em dia",IF(G227&lt;=15,"Chamar agora",IF(G227&lt;=60,"Sumida","Reativar"))))</f>
        <v/>
      </c>
      <c r="I227" s="12" t="n"/>
      <c r="J227" s="8">
        <f>IF(I227="","",MONTH(I227))</f>
        <v/>
      </c>
      <c r="K227" s="5" t="n"/>
    </row>
    <row r="228">
      <c r="A228" s="5" t="n"/>
      <c r="B228" s="5" t="n"/>
      <c r="C228" s="5" t="n"/>
      <c r="D228" s="7" t="n"/>
      <c r="E228" s="8">
        <f>IF(C228="","",IFERROR(VLOOKUP(C228,Ciclos!$A$5:$B$29,2,FALSE),""))</f>
        <v/>
      </c>
      <c r="F228" s="9">
        <f>IF(OR(D228="",E228=""),"",D228+E228)</f>
        <v/>
      </c>
      <c r="G228" s="10">
        <f>IF(F228="","",TODAY()-F228)</f>
        <v/>
      </c>
      <c r="H228" s="11">
        <f>IF(F228="","",IF(G228&lt;0,"Em dia",IF(G228&lt;=15,"Chamar agora",IF(G228&lt;=60,"Sumida","Reativar"))))</f>
        <v/>
      </c>
      <c r="I228" s="12" t="n"/>
      <c r="J228" s="8">
        <f>IF(I228="","",MONTH(I228))</f>
        <v/>
      </c>
      <c r="K228" s="5" t="n"/>
    </row>
    <row r="229">
      <c r="A229" s="5" t="n"/>
      <c r="B229" s="5" t="n"/>
      <c r="C229" s="5" t="n"/>
      <c r="D229" s="7" t="n"/>
      <c r="E229" s="8">
        <f>IF(C229="","",IFERROR(VLOOKUP(C229,Ciclos!$A$5:$B$29,2,FALSE),""))</f>
        <v/>
      </c>
      <c r="F229" s="9">
        <f>IF(OR(D229="",E229=""),"",D229+E229)</f>
        <v/>
      </c>
      <c r="G229" s="10">
        <f>IF(F229="","",TODAY()-F229)</f>
        <v/>
      </c>
      <c r="H229" s="11">
        <f>IF(F229="","",IF(G229&lt;0,"Em dia",IF(G229&lt;=15,"Chamar agora",IF(G229&lt;=60,"Sumida","Reativar"))))</f>
        <v/>
      </c>
      <c r="I229" s="12" t="n"/>
      <c r="J229" s="8">
        <f>IF(I229="","",MONTH(I229))</f>
        <v/>
      </c>
      <c r="K229" s="5" t="n"/>
    </row>
    <row r="230">
      <c r="A230" s="5" t="n"/>
      <c r="B230" s="5" t="n"/>
      <c r="C230" s="5" t="n"/>
      <c r="D230" s="7" t="n"/>
      <c r="E230" s="8">
        <f>IF(C230="","",IFERROR(VLOOKUP(C230,Ciclos!$A$5:$B$29,2,FALSE),""))</f>
        <v/>
      </c>
      <c r="F230" s="9">
        <f>IF(OR(D230="",E230=""),"",D230+E230)</f>
        <v/>
      </c>
      <c r="G230" s="10">
        <f>IF(F230="","",TODAY()-F230)</f>
        <v/>
      </c>
      <c r="H230" s="11">
        <f>IF(F230="","",IF(G230&lt;0,"Em dia",IF(G230&lt;=15,"Chamar agora",IF(G230&lt;=60,"Sumida","Reativar"))))</f>
        <v/>
      </c>
      <c r="I230" s="12" t="n"/>
      <c r="J230" s="8">
        <f>IF(I230="","",MONTH(I230))</f>
        <v/>
      </c>
      <c r="K230" s="5" t="n"/>
    </row>
    <row r="231">
      <c r="A231" s="5" t="n"/>
      <c r="B231" s="5" t="n"/>
      <c r="C231" s="5" t="n"/>
      <c r="D231" s="7" t="n"/>
      <c r="E231" s="8">
        <f>IF(C231="","",IFERROR(VLOOKUP(C231,Ciclos!$A$5:$B$29,2,FALSE),""))</f>
        <v/>
      </c>
      <c r="F231" s="9">
        <f>IF(OR(D231="",E231=""),"",D231+E231)</f>
        <v/>
      </c>
      <c r="G231" s="10">
        <f>IF(F231="","",TODAY()-F231)</f>
        <v/>
      </c>
      <c r="H231" s="11">
        <f>IF(F231="","",IF(G231&lt;0,"Em dia",IF(G231&lt;=15,"Chamar agora",IF(G231&lt;=60,"Sumida","Reativar"))))</f>
        <v/>
      </c>
      <c r="I231" s="12" t="n"/>
      <c r="J231" s="8">
        <f>IF(I231="","",MONTH(I231))</f>
        <v/>
      </c>
      <c r="K231" s="5" t="n"/>
    </row>
    <row r="232">
      <c r="A232" s="5" t="n"/>
      <c r="B232" s="5" t="n"/>
      <c r="C232" s="5" t="n"/>
      <c r="D232" s="7" t="n"/>
      <c r="E232" s="8">
        <f>IF(C232="","",IFERROR(VLOOKUP(C232,Ciclos!$A$5:$B$29,2,FALSE),""))</f>
        <v/>
      </c>
      <c r="F232" s="9">
        <f>IF(OR(D232="",E232=""),"",D232+E232)</f>
        <v/>
      </c>
      <c r="G232" s="10">
        <f>IF(F232="","",TODAY()-F232)</f>
        <v/>
      </c>
      <c r="H232" s="11">
        <f>IF(F232="","",IF(G232&lt;0,"Em dia",IF(G232&lt;=15,"Chamar agora",IF(G232&lt;=60,"Sumida","Reativar"))))</f>
        <v/>
      </c>
      <c r="I232" s="12" t="n"/>
      <c r="J232" s="8">
        <f>IF(I232="","",MONTH(I232))</f>
        <v/>
      </c>
      <c r="K232" s="5" t="n"/>
    </row>
    <row r="233">
      <c r="A233" s="5" t="n"/>
      <c r="B233" s="5" t="n"/>
      <c r="C233" s="5" t="n"/>
      <c r="D233" s="7" t="n"/>
      <c r="E233" s="8">
        <f>IF(C233="","",IFERROR(VLOOKUP(C233,Ciclos!$A$5:$B$29,2,FALSE),""))</f>
        <v/>
      </c>
      <c r="F233" s="9">
        <f>IF(OR(D233="",E233=""),"",D233+E233)</f>
        <v/>
      </c>
      <c r="G233" s="10">
        <f>IF(F233="","",TODAY()-F233)</f>
        <v/>
      </c>
      <c r="H233" s="11">
        <f>IF(F233="","",IF(G233&lt;0,"Em dia",IF(G233&lt;=15,"Chamar agora",IF(G233&lt;=60,"Sumida","Reativar"))))</f>
        <v/>
      </c>
      <c r="I233" s="12" t="n"/>
      <c r="J233" s="8">
        <f>IF(I233="","",MONTH(I233))</f>
        <v/>
      </c>
      <c r="K233" s="5" t="n"/>
    </row>
    <row r="234">
      <c r="A234" s="5" t="n"/>
      <c r="B234" s="5" t="n"/>
      <c r="C234" s="5" t="n"/>
      <c r="D234" s="7" t="n"/>
      <c r="E234" s="8">
        <f>IF(C234="","",IFERROR(VLOOKUP(C234,Ciclos!$A$5:$B$29,2,FALSE),""))</f>
        <v/>
      </c>
      <c r="F234" s="9">
        <f>IF(OR(D234="",E234=""),"",D234+E234)</f>
        <v/>
      </c>
      <c r="G234" s="10">
        <f>IF(F234="","",TODAY()-F234)</f>
        <v/>
      </c>
      <c r="H234" s="11">
        <f>IF(F234="","",IF(G234&lt;0,"Em dia",IF(G234&lt;=15,"Chamar agora",IF(G234&lt;=60,"Sumida","Reativar"))))</f>
        <v/>
      </c>
      <c r="I234" s="12" t="n"/>
      <c r="J234" s="8">
        <f>IF(I234="","",MONTH(I234))</f>
        <v/>
      </c>
      <c r="K234" s="5" t="n"/>
    </row>
    <row r="235">
      <c r="A235" s="5" t="n"/>
      <c r="B235" s="5" t="n"/>
      <c r="C235" s="5" t="n"/>
      <c r="D235" s="7" t="n"/>
      <c r="E235" s="8">
        <f>IF(C235="","",IFERROR(VLOOKUP(C235,Ciclos!$A$5:$B$29,2,FALSE),""))</f>
        <v/>
      </c>
      <c r="F235" s="9">
        <f>IF(OR(D235="",E235=""),"",D235+E235)</f>
        <v/>
      </c>
      <c r="G235" s="10">
        <f>IF(F235="","",TODAY()-F235)</f>
        <v/>
      </c>
      <c r="H235" s="11">
        <f>IF(F235="","",IF(G235&lt;0,"Em dia",IF(G235&lt;=15,"Chamar agora",IF(G235&lt;=60,"Sumida","Reativar"))))</f>
        <v/>
      </c>
      <c r="I235" s="12" t="n"/>
      <c r="J235" s="8">
        <f>IF(I235="","",MONTH(I235))</f>
        <v/>
      </c>
      <c r="K235" s="5" t="n"/>
    </row>
    <row r="236">
      <c r="A236" s="5" t="n"/>
      <c r="B236" s="5" t="n"/>
      <c r="C236" s="5" t="n"/>
      <c r="D236" s="7" t="n"/>
      <c r="E236" s="8">
        <f>IF(C236="","",IFERROR(VLOOKUP(C236,Ciclos!$A$5:$B$29,2,FALSE),""))</f>
        <v/>
      </c>
      <c r="F236" s="9">
        <f>IF(OR(D236="",E236=""),"",D236+E236)</f>
        <v/>
      </c>
      <c r="G236" s="10">
        <f>IF(F236="","",TODAY()-F236)</f>
        <v/>
      </c>
      <c r="H236" s="11">
        <f>IF(F236="","",IF(G236&lt;0,"Em dia",IF(G236&lt;=15,"Chamar agora",IF(G236&lt;=60,"Sumida","Reativar"))))</f>
        <v/>
      </c>
      <c r="I236" s="12" t="n"/>
      <c r="J236" s="8">
        <f>IF(I236="","",MONTH(I236))</f>
        <v/>
      </c>
      <c r="K236" s="5" t="n"/>
    </row>
    <row r="237">
      <c r="A237" s="5" t="n"/>
      <c r="B237" s="5" t="n"/>
      <c r="C237" s="5" t="n"/>
      <c r="D237" s="7" t="n"/>
      <c r="E237" s="8">
        <f>IF(C237="","",IFERROR(VLOOKUP(C237,Ciclos!$A$5:$B$29,2,FALSE),""))</f>
        <v/>
      </c>
      <c r="F237" s="9">
        <f>IF(OR(D237="",E237=""),"",D237+E237)</f>
        <v/>
      </c>
      <c r="G237" s="10">
        <f>IF(F237="","",TODAY()-F237)</f>
        <v/>
      </c>
      <c r="H237" s="11">
        <f>IF(F237="","",IF(G237&lt;0,"Em dia",IF(G237&lt;=15,"Chamar agora",IF(G237&lt;=60,"Sumida","Reativar"))))</f>
        <v/>
      </c>
      <c r="I237" s="12" t="n"/>
      <c r="J237" s="8">
        <f>IF(I237="","",MONTH(I237))</f>
        <v/>
      </c>
      <c r="K237" s="5" t="n"/>
    </row>
    <row r="238">
      <c r="A238" s="5" t="n"/>
      <c r="B238" s="5" t="n"/>
      <c r="C238" s="5" t="n"/>
      <c r="D238" s="7" t="n"/>
      <c r="E238" s="8">
        <f>IF(C238="","",IFERROR(VLOOKUP(C238,Ciclos!$A$5:$B$29,2,FALSE),""))</f>
        <v/>
      </c>
      <c r="F238" s="9">
        <f>IF(OR(D238="",E238=""),"",D238+E238)</f>
        <v/>
      </c>
      <c r="G238" s="10">
        <f>IF(F238="","",TODAY()-F238)</f>
        <v/>
      </c>
      <c r="H238" s="11">
        <f>IF(F238="","",IF(G238&lt;0,"Em dia",IF(G238&lt;=15,"Chamar agora",IF(G238&lt;=60,"Sumida","Reativar"))))</f>
        <v/>
      </c>
      <c r="I238" s="12" t="n"/>
      <c r="J238" s="8">
        <f>IF(I238="","",MONTH(I238))</f>
        <v/>
      </c>
      <c r="K238" s="5" t="n"/>
    </row>
    <row r="239">
      <c r="A239" s="5" t="n"/>
      <c r="B239" s="5" t="n"/>
      <c r="C239" s="5" t="n"/>
      <c r="D239" s="7" t="n"/>
      <c r="E239" s="8">
        <f>IF(C239="","",IFERROR(VLOOKUP(C239,Ciclos!$A$5:$B$29,2,FALSE),""))</f>
        <v/>
      </c>
      <c r="F239" s="9">
        <f>IF(OR(D239="",E239=""),"",D239+E239)</f>
        <v/>
      </c>
      <c r="G239" s="10">
        <f>IF(F239="","",TODAY()-F239)</f>
        <v/>
      </c>
      <c r="H239" s="11">
        <f>IF(F239="","",IF(G239&lt;0,"Em dia",IF(G239&lt;=15,"Chamar agora",IF(G239&lt;=60,"Sumida","Reativar"))))</f>
        <v/>
      </c>
      <c r="I239" s="12" t="n"/>
      <c r="J239" s="8">
        <f>IF(I239="","",MONTH(I239))</f>
        <v/>
      </c>
      <c r="K239" s="5" t="n"/>
    </row>
    <row r="240">
      <c r="A240" s="5" t="n"/>
      <c r="B240" s="5" t="n"/>
      <c r="C240" s="5" t="n"/>
      <c r="D240" s="7" t="n"/>
      <c r="E240" s="8">
        <f>IF(C240="","",IFERROR(VLOOKUP(C240,Ciclos!$A$5:$B$29,2,FALSE),""))</f>
        <v/>
      </c>
      <c r="F240" s="9">
        <f>IF(OR(D240="",E240=""),"",D240+E240)</f>
        <v/>
      </c>
      <c r="G240" s="10">
        <f>IF(F240="","",TODAY()-F240)</f>
        <v/>
      </c>
      <c r="H240" s="11">
        <f>IF(F240="","",IF(G240&lt;0,"Em dia",IF(G240&lt;=15,"Chamar agora",IF(G240&lt;=60,"Sumida","Reativar"))))</f>
        <v/>
      </c>
      <c r="I240" s="12" t="n"/>
      <c r="J240" s="8">
        <f>IF(I240="","",MONTH(I240))</f>
        <v/>
      </c>
      <c r="K240" s="5" t="n"/>
    </row>
    <row r="241">
      <c r="A241" s="5" t="n"/>
      <c r="B241" s="5" t="n"/>
      <c r="C241" s="5" t="n"/>
      <c r="D241" s="7" t="n"/>
      <c r="E241" s="8">
        <f>IF(C241="","",IFERROR(VLOOKUP(C241,Ciclos!$A$5:$B$29,2,FALSE),""))</f>
        <v/>
      </c>
      <c r="F241" s="9">
        <f>IF(OR(D241="",E241=""),"",D241+E241)</f>
        <v/>
      </c>
      <c r="G241" s="10">
        <f>IF(F241="","",TODAY()-F241)</f>
        <v/>
      </c>
      <c r="H241" s="11">
        <f>IF(F241="","",IF(G241&lt;0,"Em dia",IF(G241&lt;=15,"Chamar agora",IF(G241&lt;=60,"Sumida","Reativar"))))</f>
        <v/>
      </c>
      <c r="I241" s="12" t="n"/>
      <c r="J241" s="8">
        <f>IF(I241="","",MONTH(I241))</f>
        <v/>
      </c>
      <c r="K241" s="5" t="n"/>
    </row>
    <row r="242">
      <c r="A242" s="5" t="n"/>
      <c r="B242" s="5" t="n"/>
      <c r="C242" s="5" t="n"/>
      <c r="D242" s="7" t="n"/>
      <c r="E242" s="8">
        <f>IF(C242="","",IFERROR(VLOOKUP(C242,Ciclos!$A$5:$B$29,2,FALSE),""))</f>
        <v/>
      </c>
      <c r="F242" s="9">
        <f>IF(OR(D242="",E242=""),"",D242+E242)</f>
        <v/>
      </c>
      <c r="G242" s="10">
        <f>IF(F242="","",TODAY()-F242)</f>
        <v/>
      </c>
      <c r="H242" s="11">
        <f>IF(F242="","",IF(G242&lt;0,"Em dia",IF(G242&lt;=15,"Chamar agora",IF(G242&lt;=60,"Sumida","Reativar"))))</f>
        <v/>
      </c>
      <c r="I242" s="12" t="n"/>
      <c r="J242" s="8">
        <f>IF(I242="","",MONTH(I242))</f>
        <v/>
      </c>
      <c r="K242" s="5" t="n"/>
    </row>
    <row r="243">
      <c r="A243" s="5" t="n"/>
      <c r="B243" s="5" t="n"/>
      <c r="C243" s="5" t="n"/>
      <c r="D243" s="7" t="n"/>
      <c r="E243" s="8">
        <f>IF(C243="","",IFERROR(VLOOKUP(C243,Ciclos!$A$5:$B$29,2,FALSE),""))</f>
        <v/>
      </c>
      <c r="F243" s="9">
        <f>IF(OR(D243="",E243=""),"",D243+E243)</f>
        <v/>
      </c>
      <c r="G243" s="10">
        <f>IF(F243="","",TODAY()-F243)</f>
        <v/>
      </c>
      <c r="H243" s="11">
        <f>IF(F243="","",IF(G243&lt;0,"Em dia",IF(G243&lt;=15,"Chamar agora",IF(G243&lt;=60,"Sumida","Reativar"))))</f>
        <v/>
      </c>
      <c r="I243" s="12" t="n"/>
      <c r="J243" s="8">
        <f>IF(I243="","",MONTH(I243))</f>
        <v/>
      </c>
      <c r="K243" s="5" t="n"/>
    </row>
    <row r="244">
      <c r="A244" s="5" t="n"/>
      <c r="B244" s="5" t="n"/>
      <c r="C244" s="5" t="n"/>
      <c r="D244" s="7" t="n"/>
      <c r="E244" s="8">
        <f>IF(C244="","",IFERROR(VLOOKUP(C244,Ciclos!$A$5:$B$29,2,FALSE),""))</f>
        <v/>
      </c>
      <c r="F244" s="9">
        <f>IF(OR(D244="",E244=""),"",D244+E244)</f>
        <v/>
      </c>
      <c r="G244" s="10">
        <f>IF(F244="","",TODAY()-F244)</f>
        <v/>
      </c>
      <c r="H244" s="11">
        <f>IF(F244="","",IF(G244&lt;0,"Em dia",IF(G244&lt;=15,"Chamar agora",IF(G244&lt;=60,"Sumida","Reativar"))))</f>
        <v/>
      </c>
      <c r="I244" s="12" t="n"/>
      <c r="J244" s="8">
        <f>IF(I244="","",MONTH(I244))</f>
        <v/>
      </c>
      <c r="K244" s="5" t="n"/>
    </row>
    <row r="245">
      <c r="A245" s="5" t="n"/>
      <c r="B245" s="5" t="n"/>
      <c r="C245" s="5" t="n"/>
      <c r="D245" s="7" t="n"/>
      <c r="E245" s="8">
        <f>IF(C245="","",IFERROR(VLOOKUP(C245,Ciclos!$A$5:$B$29,2,FALSE),""))</f>
        <v/>
      </c>
      <c r="F245" s="9">
        <f>IF(OR(D245="",E245=""),"",D245+E245)</f>
        <v/>
      </c>
      <c r="G245" s="10">
        <f>IF(F245="","",TODAY()-F245)</f>
        <v/>
      </c>
      <c r="H245" s="11">
        <f>IF(F245="","",IF(G245&lt;0,"Em dia",IF(G245&lt;=15,"Chamar agora",IF(G245&lt;=60,"Sumida","Reativar"))))</f>
        <v/>
      </c>
      <c r="I245" s="12" t="n"/>
      <c r="J245" s="8">
        <f>IF(I245="","",MONTH(I245))</f>
        <v/>
      </c>
      <c r="K245" s="5" t="n"/>
    </row>
    <row r="246">
      <c r="A246" s="5" t="n"/>
      <c r="B246" s="5" t="n"/>
      <c r="C246" s="5" t="n"/>
      <c r="D246" s="7" t="n"/>
      <c r="E246" s="8">
        <f>IF(C246="","",IFERROR(VLOOKUP(C246,Ciclos!$A$5:$B$29,2,FALSE),""))</f>
        <v/>
      </c>
      <c r="F246" s="9">
        <f>IF(OR(D246="",E246=""),"",D246+E246)</f>
        <v/>
      </c>
      <c r="G246" s="10">
        <f>IF(F246="","",TODAY()-F246)</f>
        <v/>
      </c>
      <c r="H246" s="11">
        <f>IF(F246="","",IF(G246&lt;0,"Em dia",IF(G246&lt;=15,"Chamar agora",IF(G246&lt;=60,"Sumida","Reativar"))))</f>
        <v/>
      </c>
      <c r="I246" s="12" t="n"/>
      <c r="J246" s="8">
        <f>IF(I246="","",MONTH(I246))</f>
        <v/>
      </c>
      <c r="K246" s="5" t="n"/>
    </row>
    <row r="247">
      <c r="A247" s="5" t="n"/>
      <c r="B247" s="5" t="n"/>
      <c r="C247" s="5" t="n"/>
      <c r="D247" s="7" t="n"/>
      <c r="E247" s="8">
        <f>IF(C247="","",IFERROR(VLOOKUP(C247,Ciclos!$A$5:$B$29,2,FALSE),""))</f>
        <v/>
      </c>
      <c r="F247" s="9">
        <f>IF(OR(D247="",E247=""),"",D247+E247)</f>
        <v/>
      </c>
      <c r="G247" s="10">
        <f>IF(F247="","",TODAY()-F247)</f>
        <v/>
      </c>
      <c r="H247" s="11">
        <f>IF(F247="","",IF(G247&lt;0,"Em dia",IF(G247&lt;=15,"Chamar agora",IF(G247&lt;=60,"Sumida","Reativar"))))</f>
        <v/>
      </c>
      <c r="I247" s="12" t="n"/>
      <c r="J247" s="8">
        <f>IF(I247="","",MONTH(I247))</f>
        <v/>
      </c>
      <c r="K247" s="5" t="n"/>
    </row>
    <row r="248">
      <c r="A248" s="5" t="n"/>
      <c r="B248" s="5" t="n"/>
      <c r="C248" s="5" t="n"/>
      <c r="D248" s="7" t="n"/>
      <c r="E248" s="8">
        <f>IF(C248="","",IFERROR(VLOOKUP(C248,Ciclos!$A$5:$B$29,2,FALSE),""))</f>
        <v/>
      </c>
      <c r="F248" s="9">
        <f>IF(OR(D248="",E248=""),"",D248+E248)</f>
        <v/>
      </c>
      <c r="G248" s="10">
        <f>IF(F248="","",TODAY()-F248)</f>
        <v/>
      </c>
      <c r="H248" s="11">
        <f>IF(F248="","",IF(G248&lt;0,"Em dia",IF(G248&lt;=15,"Chamar agora",IF(G248&lt;=60,"Sumida","Reativar"))))</f>
        <v/>
      </c>
      <c r="I248" s="12" t="n"/>
      <c r="J248" s="8">
        <f>IF(I248="","",MONTH(I248))</f>
        <v/>
      </c>
      <c r="K248" s="5" t="n"/>
    </row>
    <row r="249">
      <c r="A249" s="5" t="n"/>
      <c r="B249" s="5" t="n"/>
      <c r="C249" s="5" t="n"/>
      <c r="D249" s="7" t="n"/>
      <c r="E249" s="8">
        <f>IF(C249="","",IFERROR(VLOOKUP(C249,Ciclos!$A$5:$B$29,2,FALSE),""))</f>
        <v/>
      </c>
      <c r="F249" s="9">
        <f>IF(OR(D249="",E249=""),"",D249+E249)</f>
        <v/>
      </c>
      <c r="G249" s="10">
        <f>IF(F249="","",TODAY()-F249)</f>
        <v/>
      </c>
      <c r="H249" s="11">
        <f>IF(F249="","",IF(G249&lt;0,"Em dia",IF(G249&lt;=15,"Chamar agora",IF(G249&lt;=60,"Sumida","Reativar"))))</f>
        <v/>
      </c>
      <c r="I249" s="12" t="n"/>
      <c r="J249" s="8">
        <f>IF(I249="","",MONTH(I249))</f>
        <v/>
      </c>
      <c r="K249" s="5" t="n"/>
    </row>
    <row r="250">
      <c r="A250" s="5" t="n"/>
      <c r="B250" s="5" t="n"/>
      <c r="C250" s="5" t="n"/>
      <c r="D250" s="7" t="n"/>
      <c r="E250" s="8">
        <f>IF(C250="","",IFERROR(VLOOKUP(C250,Ciclos!$A$5:$B$29,2,FALSE),""))</f>
        <v/>
      </c>
      <c r="F250" s="9">
        <f>IF(OR(D250="",E250=""),"",D250+E250)</f>
        <v/>
      </c>
      <c r="G250" s="10">
        <f>IF(F250="","",TODAY()-F250)</f>
        <v/>
      </c>
      <c r="H250" s="11">
        <f>IF(F250="","",IF(G250&lt;0,"Em dia",IF(G250&lt;=15,"Chamar agora",IF(G250&lt;=60,"Sumida","Reativar"))))</f>
        <v/>
      </c>
      <c r="I250" s="12" t="n"/>
      <c r="J250" s="8">
        <f>IF(I250="","",MONTH(I250))</f>
        <v/>
      </c>
      <c r="K250" s="5" t="n"/>
    </row>
    <row r="251">
      <c r="A251" s="5" t="n"/>
      <c r="B251" s="5" t="n"/>
      <c r="C251" s="5" t="n"/>
      <c r="D251" s="7" t="n"/>
      <c r="E251" s="8">
        <f>IF(C251="","",IFERROR(VLOOKUP(C251,Ciclos!$A$5:$B$29,2,FALSE),""))</f>
        <v/>
      </c>
      <c r="F251" s="9">
        <f>IF(OR(D251="",E251=""),"",D251+E251)</f>
        <v/>
      </c>
      <c r="G251" s="10">
        <f>IF(F251="","",TODAY()-F251)</f>
        <v/>
      </c>
      <c r="H251" s="11">
        <f>IF(F251="","",IF(G251&lt;0,"Em dia",IF(G251&lt;=15,"Chamar agora",IF(G251&lt;=60,"Sumida","Reativar"))))</f>
        <v/>
      </c>
      <c r="I251" s="12" t="n"/>
      <c r="J251" s="8">
        <f>IF(I251="","",MONTH(I251))</f>
        <v/>
      </c>
      <c r="K251" s="5" t="n"/>
    </row>
    <row r="252">
      <c r="A252" s="5" t="n"/>
      <c r="B252" s="5" t="n"/>
      <c r="C252" s="5" t="n"/>
      <c r="D252" s="7" t="n"/>
      <c r="E252" s="8">
        <f>IF(C252="","",IFERROR(VLOOKUP(C252,Ciclos!$A$5:$B$29,2,FALSE),""))</f>
        <v/>
      </c>
      <c r="F252" s="9">
        <f>IF(OR(D252="",E252=""),"",D252+E252)</f>
        <v/>
      </c>
      <c r="G252" s="10">
        <f>IF(F252="","",TODAY()-F252)</f>
        <v/>
      </c>
      <c r="H252" s="11">
        <f>IF(F252="","",IF(G252&lt;0,"Em dia",IF(G252&lt;=15,"Chamar agora",IF(G252&lt;=60,"Sumida","Reativar"))))</f>
        <v/>
      </c>
      <c r="I252" s="12" t="n"/>
      <c r="J252" s="8">
        <f>IF(I252="","",MONTH(I252))</f>
        <v/>
      </c>
      <c r="K252" s="5" t="n"/>
    </row>
    <row r="253">
      <c r="A253" s="5" t="n"/>
      <c r="B253" s="5" t="n"/>
      <c r="C253" s="5" t="n"/>
      <c r="D253" s="7" t="n"/>
      <c r="E253" s="8">
        <f>IF(C253="","",IFERROR(VLOOKUP(C253,Ciclos!$A$5:$B$29,2,FALSE),""))</f>
        <v/>
      </c>
      <c r="F253" s="9">
        <f>IF(OR(D253="",E253=""),"",D253+E253)</f>
        <v/>
      </c>
      <c r="G253" s="10">
        <f>IF(F253="","",TODAY()-F253)</f>
        <v/>
      </c>
      <c r="H253" s="11">
        <f>IF(F253="","",IF(G253&lt;0,"Em dia",IF(G253&lt;=15,"Chamar agora",IF(G253&lt;=60,"Sumida","Reativar"))))</f>
        <v/>
      </c>
      <c r="I253" s="12" t="n"/>
      <c r="J253" s="8">
        <f>IF(I253="","",MONTH(I253))</f>
        <v/>
      </c>
      <c r="K253" s="5" t="n"/>
    </row>
    <row r="254">
      <c r="A254" s="5" t="n"/>
      <c r="B254" s="5" t="n"/>
      <c r="C254" s="5" t="n"/>
      <c r="D254" s="7" t="n"/>
      <c r="E254" s="8">
        <f>IF(C254="","",IFERROR(VLOOKUP(C254,Ciclos!$A$5:$B$29,2,FALSE),""))</f>
        <v/>
      </c>
      <c r="F254" s="9">
        <f>IF(OR(D254="",E254=""),"",D254+E254)</f>
        <v/>
      </c>
      <c r="G254" s="10">
        <f>IF(F254="","",TODAY()-F254)</f>
        <v/>
      </c>
      <c r="H254" s="11">
        <f>IF(F254="","",IF(G254&lt;0,"Em dia",IF(G254&lt;=15,"Chamar agora",IF(G254&lt;=60,"Sumida","Reativar"))))</f>
        <v/>
      </c>
      <c r="I254" s="12" t="n"/>
      <c r="J254" s="8">
        <f>IF(I254="","",MONTH(I254))</f>
        <v/>
      </c>
      <c r="K254" s="5" t="n"/>
    </row>
    <row r="255">
      <c r="A255" s="5" t="n"/>
      <c r="B255" s="5" t="n"/>
      <c r="C255" s="5" t="n"/>
      <c r="D255" s="7" t="n"/>
      <c r="E255" s="8">
        <f>IF(C255="","",IFERROR(VLOOKUP(C255,Ciclos!$A$5:$B$29,2,FALSE),""))</f>
        <v/>
      </c>
      <c r="F255" s="9">
        <f>IF(OR(D255="",E255=""),"",D255+E255)</f>
        <v/>
      </c>
      <c r="G255" s="10">
        <f>IF(F255="","",TODAY()-F255)</f>
        <v/>
      </c>
      <c r="H255" s="11">
        <f>IF(F255="","",IF(G255&lt;0,"Em dia",IF(G255&lt;=15,"Chamar agora",IF(G255&lt;=60,"Sumida","Reativar"))))</f>
        <v/>
      </c>
      <c r="I255" s="12" t="n"/>
      <c r="J255" s="8">
        <f>IF(I255="","",MONTH(I255))</f>
        <v/>
      </c>
      <c r="K255" s="5" t="n"/>
    </row>
    <row r="256">
      <c r="A256" s="5" t="n"/>
      <c r="B256" s="5" t="n"/>
      <c r="C256" s="5" t="n"/>
      <c r="D256" s="7" t="n"/>
      <c r="E256" s="8">
        <f>IF(C256="","",IFERROR(VLOOKUP(C256,Ciclos!$A$5:$B$29,2,FALSE),""))</f>
        <v/>
      </c>
      <c r="F256" s="9">
        <f>IF(OR(D256="",E256=""),"",D256+E256)</f>
        <v/>
      </c>
      <c r="G256" s="10">
        <f>IF(F256="","",TODAY()-F256)</f>
        <v/>
      </c>
      <c r="H256" s="11">
        <f>IF(F256="","",IF(G256&lt;0,"Em dia",IF(G256&lt;=15,"Chamar agora",IF(G256&lt;=60,"Sumida","Reativar"))))</f>
        <v/>
      </c>
      <c r="I256" s="12" t="n"/>
      <c r="J256" s="8">
        <f>IF(I256="","",MONTH(I256))</f>
        <v/>
      </c>
      <c r="K256" s="5" t="n"/>
    </row>
    <row r="257">
      <c r="A257" s="5" t="n"/>
      <c r="B257" s="5" t="n"/>
      <c r="C257" s="5" t="n"/>
      <c r="D257" s="7" t="n"/>
      <c r="E257" s="8">
        <f>IF(C257="","",IFERROR(VLOOKUP(C257,Ciclos!$A$5:$B$29,2,FALSE),""))</f>
        <v/>
      </c>
      <c r="F257" s="9">
        <f>IF(OR(D257="",E257=""),"",D257+E257)</f>
        <v/>
      </c>
      <c r="G257" s="10">
        <f>IF(F257="","",TODAY()-F257)</f>
        <v/>
      </c>
      <c r="H257" s="11">
        <f>IF(F257="","",IF(G257&lt;0,"Em dia",IF(G257&lt;=15,"Chamar agora",IF(G257&lt;=60,"Sumida","Reativar"))))</f>
        <v/>
      </c>
      <c r="I257" s="12" t="n"/>
      <c r="J257" s="8">
        <f>IF(I257="","",MONTH(I257))</f>
        <v/>
      </c>
      <c r="K257" s="5" t="n"/>
    </row>
    <row r="258">
      <c r="A258" s="5" t="n"/>
      <c r="B258" s="5" t="n"/>
      <c r="C258" s="5" t="n"/>
      <c r="D258" s="7" t="n"/>
      <c r="E258" s="8">
        <f>IF(C258="","",IFERROR(VLOOKUP(C258,Ciclos!$A$5:$B$29,2,FALSE),""))</f>
        <v/>
      </c>
      <c r="F258" s="9">
        <f>IF(OR(D258="",E258=""),"",D258+E258)</f>
        <v/>
      </c>
      <c r="G258" s="10">
        <f>IF(F258="","",TODAY()-F258)</f>
        <v/>
      </c>
      <c r="H258" s="11">
        <f>IF(F258="","",IF(G258&lt;0,"Em dia",IF(G258&lt;=15,"Chamar agora",IF(G258&lt;=60,"Sumida","Reativar"))))</f>
        <v/>
      </c>
      <c r="I258" s="12" t="n"/>
      <c r="J258" s="8">
        <f>IF(I258="","",MONTH(I258))</f>
        <v/>
      </c>
      <c r="K258" s="5" t="n"/>
    </row>
    <row r="259">
      <c r="A259" s="5" t="n"/>
      <c r="B259" s="5" t="n"/>
      <c r="C259" s="5" t="n"/>
      <c r="D259" s="7" t="n"/>
      <c r="E259" s="8">
        <f>IF(C259="","",IFERROR(VLOOKUP(C259,Ciclos!$A$5:$B$29,2,FALSE),""))</f>
        <v/>
      </c>
      <c r="F259" s="9">
        <f>IF(OR(D259="",E259=""),"",D259+E259)</f>
        <v/>
      </c>
      <c r="G259" s="10">
        <f>IF(F259="","",TODAY()-F259)</f>
        <v/>
      </c>
      <c r="H259" s="11">
        <f>IF(F259="","",IF(G259&lt;0,"Em dia",IF(G259&lt;=15,"Chamar agora",IF(G259&lt;=60,"Sumida","Reativar"))))</f>
        <v/>
      </c>
      <c r="I259" s="12" t="n"/>
      <c r="J259" s="8">
        <f>IF(I259="","",MONTH(I259))</f>
        <v/>
      </c>
      <c r="K259" s="5" t="n"/>
    </row>
    <row r="260">
      <c r="A260" s="5" t="n"/>
      <c r="B260" s="5" t="n"/>
      <c r="C260" s="5" t="n"/>
      <c r="D260" s="7" t="n"/>
      <c r="E260" s="8">
        <f>IF(C260="","",IFERROR(VLOOKUP(C260,Ciclos!$A$5:$B$29,2,FALSE),""))</f>
        <v/>
      </c>
      <c r="F260" s="9">
        <f>IF(OR(D260="",E260=""),"",D260+E260)</f>
        <v/>
      </c>
      <c r="G260" s="10">
        <f>IF(F260="","",TODAY()-F260)</f>
        <v/>
      </c>
      <c r="H260" s="11">
        <f>IF(F260="","",IF(G260&lt;0,"Em dia",IF(G260&lt;=15,"Chamar agora",IF(G260&lt;=60,"Sumida","Reativar"))))</f>
        <v/>
      </c>
      <c r="I260" s="12" t="n"/>
      <c r="J260" s="8">
        <f>IF(I260="","",MONTH(I260))</f>
        <v/>
      </c>
      <c r="K260" s="5" t="n"/>
    </row>
    <row r="261">
      <c r="A261" s="5" t="n"/>
      <c r="B261" s="5" t="n"/>
      <c r="C261" s="5" t="n"/>
      <c r="D261" s="7" t="n"/>
      <c r="E261" s="8">
        <f>IF(C261="","",IFERROR(VLOOKUP(C261,Ciclos!$A$5:$B$29,2,FALSE),""))</f>
        <v/>
      </c>
      <c r="F261" s="9">
        <f>IF(OR(D261="",E261=""),"",D261+E261)</f>
        <v/>
      </c>
      <c r="G261" s="10">
        <f>IF(F261="","",TODAY()-F261)</f>
        <v/>
      </c>
      <c r="H261" s="11">
        <f>IF(F261="","",IF(G261&lt;0,"Em dia",IF(G261&lt;=15,"Chamar agora",IF(G261&lt;=60,"Sumida","Reativar"))))</f>
        <v/>
      </c>
      <c r="I261" s="12" t="n"/>
      <c r="J261" s="8">
        <f>IF(I261="","",MONTH(I261))</f>
        <v/>
      </c>
      <c r="K261" s="5" t="n"/>
    </row>
    <row r="262">
      <c r="A262" s="5" t="n"/>
      <c r="B262" s="5" t="n"/>
      <c r="C262" s="5" t="n"/>
      <c r="D262" s="7" t="n"/>
      <c r="E262" s="8">
        <f>IF(C262="","",IFERROR(VLOOKUP(C262,Ciclos!$A$5:$B$29,2,FALSE),""))</f>
        <v/>
      </c>
      <c r="F262" s="9">
        <f>IF(OR(D262="",E262=""),"",D262+E262)</f>
        <v/>
      </c>
      <c r="G262" s="10">
        <f>IF(F262="","",TODAY()-F262)</f>
        <v/>
      </c>
      <c r="H262" s="11">
        <f>IF(F262="","",IF(G262&lt;0,"Em dia",IF(G262&lt;=15,"Chamar agora",IF(G262&lt;=60,"Sumida","Reativar"))))</f>
        <v/>
      </c>
      <c r="I262" s="12" t="n"/>
      <c r="J262" s="8">
        <f>IF(I262="","",MONTH(I262))</f>
        <v/>
      </c>
      <c r="K262" s="5" t="n"/>
    </row>
    <row r="263">
      <c r="A263" s="5" t="n"/>
      <c r="B263" s="5" t="n"/>
      <c r="C263" s="5" t="n"/>
      <c r="D263" s="7" t="n"/>
      <c r="E263" s="8">
        <f>IF(C263="","",IFERROR(VLOOKUP(C263,Ciclos!$A$5:$B$29,2,FALSE),""))</f>
        <v/>
      </c>
      <c r="F263" s="9">
        <f>IF(OR(D263="",E263=""),"",D263+E263)</f>
        <v/>
      </c>
      <c r="G263" s="10">
        <f>IF(F263="","",TODAY()-F263)</f>
        <v/>
      </c>
      <c r="H263" s="11">
        <f>IF(F263="","",IF(G263&lt;0,"Em dia",IF(G263&lt;=15,"Chamar agora",IF(G263&lt;=60,"Sumida","Reativar"))))</f>
        <v/>
      </c>
      <c r="I263" s="12" t="n"/>
      <c r="J263" s="8">
        <f>IF(I263="","",MONTH(I263))</f>
        <v/>
      </c>
      <c r="K263" s="5" t="n"/>
    </row>
    <row r="264">
      <c r="A264" s="5" t="n"/>
      <c r="B264" s="5" t="n"/>
      <c r="C264" s="5" t="n"/>
      <c r="D264" s="7" t="n"/>
      <c r="E264" s="8">
        <f>IF(C264="","",IFERROR(VLOOKUP(C264,Ciclos!$A$5:$B$29,2,FALSE),""))</f>
        <v/>
      </c>
      <c r="F264" s="9">
        <f>IF(OR(D264="",E264=""),"",D264+E264)</f>
        <v/>
      </c>
      <c r="G264" s="10">
        <f>IF(F264="","",TODAY()-F264)</f>
        <v/>
      </c>
      <c r="H264" s="11">
        <f>IF(F264="","",IF(G264&lt;0,"Em dia",IF(G264&lt;=15,"Chamar agora",IF(G264&lt;=60,"Sumida","Reativar"))))</f>
        <v/>
      </c>
      <c r="I264" s="12" t="n"/>
      <c r="J264" s="8">
        <f>IF(I264="","",MONTH(I264))</f>
        <v/>
      </c>
      <c r="K264" s="5" t="n"/>
    </row>
    <row r="265">
      <c r="A265" s="5" t="n"/>
      <c r="B265" s="5" t="n"/>
      <c r="C265" s="5" t="n"/>
      <c r="D265" s="7" t="n"/>
      <c r="E265" s="8">
        <f>IF(C265="","",IFERROR(VLOOKUP(C265,Ciclos!$A$5:$B$29,2,FALSE),""))</f>
        <v/>
      </c>
      <c r="F265" s="9">
        <f>IF(OR(D265="",E265=""),"",D265+E265)</f>
        <v/>
      </c>
      <c r="G265" s="10">
        <f>IF(F265="","",TODAY()-F265)</f>
        <v/>
      </c>
      <c r="H265" s="11">
        <f>IF(F265="","",IF(G265&lt;0,"Em dia",IF(G265&lt;=15,"Chamar agora",IF(G265&lt;=60,"Sumida","Reativar"))))</f>
        <v/>
      </c>
      <c r="I265" s="12" t="n"/>
      <c r="J265" s="8">
        <f>IF(I265="","",MONTH(I265))</f>
        <v/>
      </c>
      <c r="K265" s="5" t="n"/>
    </row>
    <row r="266">
      <c r="A266" s="5" t="n"/>
      <c r="B266" s="5" t="n"/>
      <c r="C266" s="5" t="n"/>
      <c r="D266" s="7" t="n"/>
      <c r="E266" s="8">
        <f>IF(C266="","",IFERROR(VLOOKUP(C266,Ciclos!$A$5:$B$29,2,FALSE),""))</f>
        <v/>
      </c>
      <c r="F266" s="9">
        <f>IF(OR(D266="",E266=""),"",D266+E266)</f>
        <v/>
      </c>
      <c r="G266" s="10">
        <f>IF(F266="","",TODAY()-F266)</f>
        <v/>
      </c>
      <c r="H266" s="11">
        <f>IF(F266="","",IF(G266&lt;0,"Em dia",IF(G266&lt;=15,"Chamar agora",IF(G266&lt;=60,"Sumida","Reativar"))))</f>
        <v/>
      </c>
      <c r="I266" s="12" t="n"/>
      <c r="J266" s="8">
        <f>IF(I266="","",MONTH(I266))</f>
        <v/>
      </c>
      <c r="K266" s="5" t="n"/>
    </row>
    <row r="267">
      <c r="A267" s="5" t="n"/>
      <c r="B267" s="5" t="n"/>
      <c r="C267" s="5" t="n"/>
      <c r="D267" s="7" t="n"/>
      <c r="E267" s="8">
        <f>IF(C267="","",IFERROR(VLOOKUP(C267,Ciclos!$A$5:$B$29,2,FALSE),""))</f>
        <v/>
      </c>
      <c r="F267" s="9">
        <f>IF(OR(D267="",E267=""),"",D267+E267)</f>
        <v/>
      </c>
      <c r="G267" s="10">
        <f>IF(F267="","",TODAY()-F267)</f>
        <v/>
      </c>
      <c r="H267" s="11">
        <f>IF(F267="","",IF(G267&lt;0,"Em dia",IF(G267&lt;=15,"Chamar agora",IF(G267&lt;=60,"Sumida","Reativar"))))</f>
        <v/>
      </c>
      <c r="I267" s="12" t="n"/>
      <c r="J267" s="8">
        <f>IF(I267="","",MONTH(I267))</f>
        <v/>
      </c>
      <c r="K267" s="5" t="n"/>
    </row>
    <row r="268">
      <c r="A268" s="5" t="n"/>
      <c r="B268" s="5" t="n"/>
      <c r="C268" s="5" t="n"/>
      <c r="D268" s="7" t="n"/>
      <c r="E268" s="8">
        <f>IF(C268="","",IFERROR(VLOOKUP(C268,Ciclos!$A$5:$B$29,2,FALSE),""))</f>
        <v/>
      </c>
      <c r="F268" s="9">
        <f>IF(OR(D268="",E268=""),"",D268+E268)</f>
        <v/>
      </c>
      <c r="G268" s="10">
        <f>IF(F268="","",TODAY()-F268)</f>
        <v/>
      </c>
      <c r="H268" s="11">
        <f>IF(F268="","",IF(G268&lt;0,"Em dia",IF(G268&lt;=15,"Chamar agora",IF(G268&lt;=60,"Sumida","Reativar"))))</f>
        <v/>
      </c>
      <c r="I268" s="12" t="n"/>
      <c r="J268" s="8">
        <f>IF(I268="","",MONTH(I268))</f>
        <v/>
      </c>
      <c r="K268" s="5" t="n"/>
    </row>
    <row r="269">
      <c r="A269" s="5" t="n"/>
      <c r="B269" s="5" t="n"/>
      <c r="C269" s="5" t="n"/>
      <c r="D269" s="7" t="n"/>
      <c r="E269" s="8">
        <f>IF(C269="","",IFERROR(VLOOKUP(C269,Ciclos!$A$5:$B$29,2,FALSE),""))</f>
        <v/>
      </c>
      <c r="F269" s="9">
        <f>IF(OR(D269="",E269=""),"",D269+E269)</f>
        <v/>
      </c>
      <c r="G269" s="10">
        <f>IF(F269="","",TODAY()-F269)</f>
        <v/>
      </c>
      <c r="H269" s="11">
        <f>IF(F269="","",IF(G269&lt;0,"Em dia",IF(G269&lt;=15,"Chamar agora",IF(G269&lt;=60,"Sumida","Reativar"))))</f>
        <v/>
      </c>
      <c r="I269" s="12" t="n"/>
      <c r="J269" s="8">
        <f>IF(I269="","",MONTH(I269))</f>
        <v/>
      </c>
      <c r="K269" s="5" t="n"/>
    </row>
    <row r="270">
      <c r="A270" s="5" t="n"/>
      <c r="B270" s="5" t="n"/>
      <c r="C270" s="5" t="n"/>
      <c r="D270" s="7" t="n"/>
      <c r="E270" s="8">
        <f>IF(C270="","",IFERROR(VLOOKUP(C270,Ciclos!$A$5:$B$29,2,FALSE),""))</f>
        <v/>
      </c>
      <c r="F270" s="9">
        <f>IF(OR(D270="",E270=""),"",D270+E270)</f>
        <v/>
      </c>
      <c r="G270" s="10">
        <f>IF(F270="","",TODAY()-F270)</f>
        <v/>
      </c>
      <c r="H270" s="11">
        <f>IF(F270="","",IF(G270&lt;0,"Em dia",IF(G270&lt;=15,"Chamar agora",IF(G270&lt;=60,"Sumida","Reativar"))))</f>
        <v/>
      </c>
      <c r="I270" s="12" t="n"/>
      <c r="J270" s="8">
        <f>IF(I270="","",MONTH(I270))</f>
        <v/>
      </c>
      <c r="K270" s="5" t="n"/>
    </row>
    <row r="271">
      <c r="A271" s="5" t="n"/>
      <c r="B271" s="5" t="n"/>
      <c r="C271" s="5" t="n"/>
      <c r="D271" s="7" t="n"/>
      <c r="E271" s="8">
        <f>IF(C271="","",IFERROR(VLOOKUP(C271,Ciclos!$A$5:$B$29,2,FALSE),""))</f>
        <v/>
      </c>
      <c r="F271" s="9">
        <f>IF(OR(D271="",E271=""),"",D271+E271)</f>
        <v/>
      </c>
      <c r="G271" s="10">
        <f>IF(F271="","",TODAY()-F271)</f>
        <v/>
      </c>
      <c r="H271" s="11">
        <f>IF(F271="","",IF(G271&lt;0,"Em dia",IF(G271&lt;=15,"Chamar agora",IF(G271&lt;=60,"Sumida","Reativar"))))</f>
        <v/>
      </c>
      <c r="I271" s="12" t="n"/>
      <c r="J271" s="8">
        <f>IF(I271="","",MONTH(I271))</f>
        <v/>
      </c>
      <c r="K271" s="5" t="n"/>
    </row>
    <row r="272">
      <c r="A272" s="5" t="n"/>
      <c r="B272" s="5" t="n"/>
      <c r="C272" s="5" t="n"/>
      <c r="D272" s="7" t="n"/>
      <c r="E272" s="8">
        <f>IF(C272="","",IFERROR(VLOOKUP(C272,Ciclos!$A$5:$B$29,2,FALSE),""))</f>
        <v/>
      </c>
      <c r="F272" s="9">
        <f>IF(OR(D272="",E272=""),"",D272+E272)</f>
        <v/>
      </c>
      <c r="G272" s="10">
        <f>IF(F272="","",TODAY()-F272)</f>
        <v/>
      </c>
      <c r="H272" s="11">
        <f>IF(F272="","",IF(G272&lt;0,"Em dia",IF(G272&lt;=15,"Chamar agora",IF(G272&lt;=60,"Sumida","Reativar"))))</f>
        <v/>
      </c>
      <c r="I272" s="12" t="n"/>
      <c r="J272" s="8">
        <f>IF(I272="","",MONTH(I272))</f>
        <v/>
      </c>
      <c r="K272" s="5" t="n"/>
    </row>
    <row r="273">
      <c r="A273" s="5" t="n"/>
      <c r="B273" s="5" t="n"/>
      <c r="C273" s="5" t="n"/>
      <c r="D273" s="7" t="n"/>
      <c r="E273" s="8">
        <f>IF(C273="","",IFERROR(VLOOKUP(C273,Ciclos!$A$5:$B$29,2,FALSE),""))</f>
        <v/>
      </c>
      <c r="F273" s="9">
        <f>IF(OR(D273="",E273=""),"",D273+E273)</f>
        <v/>
      </c>
      <c r="G273" s="10">
        <f>IF(F273="","",TODAY()-F273)</f>
        <v/>
      </c>
      <c r="H273" s="11">
        <f>IF(F273="","",IF(G273&lt;0,"Em dia",IF(G273&lt;=15,"Chamar agora",IF(G273&lt;=60,"Sumida","Reativar"))))</f>
        <v/>
      </c>
      <c r="I273" s="12" t="n"/>
      <c r="J273" s="8">
        <f>IF(I273="","",MONTH(I273))</f>
        <v/>
      </c>
      <c r="K273" s="5" t="n"/>
    </row>
    <row r="274">
      <c r="A274" s="5" t="n"/>
      <c r="B274" s="5" t="n"/>
      <c r="C274" s="5" t="n"/>
      <c r="D274" s="7" t="n"/>
      <c r="E274" s="8">
        <f>IF(C274="","",IFERROR(VLOOKUP(C274,Ciclos!$A$5:$B$29,2,FALSE),""))</f>
        <v/>
      </c>
      <c r="F274" s="9">
        <f>IF(OR(D274="",E274=""),"",D274+E274)</f>
        <v/>
      </c>
      <c r="G274" s="10">
        <f>IF(F274="","",TODAY()-F274)</f>
        <v/>
      </c>
      <c r="H274" s="11">
        <f>IF(F274="","",IF(G274&lt;0,"Em dia",IF(G274&lt;=15,"Chamar agora",IF(G274&lt;=60,"Sumida","Reativar"))))</f>
        <v/>
      </c>
      <c r="I274" s="12" t="n"/>
      <c r="J274" s="8">
        <f>IF(I274="","",MONTH(I274))</f>
        <v/>
      </c>
      <c r="K274" s="5" t="n"/>
    </row>
    <row r="275">
      <c r="A275" s="5" t="n"/>
      <c r="B275" s="5" t="n"/>
      <c r="C275" s="5" t="n"/>
      <c r="D275" s="7" t="n"/>
      <c r="E275" s="8">
        <f>IF(C275="","",IFERROR(VLOOKUP(C275,Ciclos!$A$5:$B$29,2,FALSE),""))</f>
        <v/>
      </c>
      <c r="F275" s="9">
        <f>IF(OR(D275="",E275=""),"",D275+E275)</f>
        <v/>
      </c>
      <c r="G275" s="10">
        <f>IF(F275="","",TODAY()-F275)</f>
        <v/>
      </c>
      <c r="H275" s="11">
        <f>IF(F275="","",IF(G275&lt;0,"Em dia",IF(G275&lt;=15,"Chamar agora",IF(G275&lt;=60,"Sumida","Reativar"))))</f>
        <v/>
      </c>
      <c r="I275" s="12" t="n"/>
      <c r="J275" s="8">
        <f>IF(I275="","",MONTH(I275))</f>
        <v/>
      </c>
      <c r="K275" s="5" t="n"/>
    </row>
    <row r="276">
      <c r="A276" s="5" t="n"/>
      <c r="B276" s="5" t="n"/>
      <c r="C276" s="5" t="n"/>
      <c r="D276" s="7" t="n"/>
      <c r="E276" s="8">
        <f>IF(C276="","",IFERROR(VLOOKUP(C276,Ciclos!$A$5:$B$29,2,FALSE),""))</f>
        <v/>
      </c>
      <c r="F276" s="9">
        <f>IF(OR(D276="",E276=""),"",D276+E276)</f>
        <v/>
      </c>
      <c r="G276" s="10">
        <f>IF(F276="","",TODAY()-F276)</f>
        <v/>
      </c>
      <c r="H276" s="11">
        <f>IF(F276="","",IF(G276&lt;0,"Em dia",IF(G276&lt;=15,"Chamar agora",IF(G276&lt;=60,"Sumida","Reativar"))))</f>
        <v/>
      </c>
      <c r="I276" s="12" t="n"/>
      <c r="J276" s="8">
        <f>IF(I276="","",MONTH(I276))</f>
        <v/>
      </c>
      <c r="K276" s="5" t="n"/>
    </row>
    <row r="277">
      <c r="A277" s="5" t="n"/>
      <c r="B277" s="5" t="n"/>
      <c r="C277" s="5" t="n"/>
      <c r="D277" s="7" t="n"/>
      <c r="E277" s="8">
        <f>IF(C277="","",IFERROR(VLOOKUP(C277,Ciclos!$A$5:$B$29,2,FALSE),""))</f>
        <v/>
      </c>
      <c r="F277" s="9">
        <f>IF(OR(D277="",E277=""),"",D277+E277)</f>
        <v/>
      </c>
      <c r="G277" s="10">
        <f>IF(F277="","",TODAY()-F277)</f>
        <v/>
      </c>
      <c r="H277" s="11">
        <f>IF(F277="","",IF(G277&lt;0,"Em dia",IF(G277&lt;=15,"Chamar agora",IF(G277&lt;=60,"Sumida","Reativar"))))</f>
        <v/>
      </c>
      <c r="I277" s="12" t="n"/>
      <c r="J277" s="8">
        <f>IF(I277="","",MONTH(I277))</f>
        <v/>
      </c>
      <c r="K277" s="5" t="n"/>
    </row>
    <row r="278">
      <c r="A278" s="5" t="n"/>
      <c r="B278" s="5" t="n"/>
      <c r="C278" s="5" t="n"/>
      <c r="D278" s="7" t="n"/>
      <c r="E278" s="8">
        <f>IF(C278="","",IFERROR(VLOOKUP(C278,Ciclos!$A$5:$B$29,2,FALSE),""))</f>
        <v/>
      </c>
      <c r="F278" s="9">
        <f>IF(OR(D278="",E278=""),"",D278+E278)</f>
        <v/>
      </c>
      <c r="G278" s="10">
        <f>IF(F278="","",TODAY()-F278)</f>
        <v/>
      </c>
      <c r="H278" s="11">
        <f>IF(F278="","",IF(G278&lt;0,"Em dia",IF(G278&lt;=15,"Chamar agora",IF(G278&lt;=60,"Sumida","Reativar"))))</f>
        <v/>
      </c>
      <c r="I278" s="12" t="n"/>
      <c r="J278" s="8">
        <f>IF(I278="","",MONTH(I278))</f>
        <v/>
      </c>
      <c r="K278" s="5" t="n"/>
    </row>
    <row r="279">
      <c r="A279" s="5" t="n"/>
      <c r="B279" s="5" t="n"/>
      <c r="C279" s="5" t="n"/>
      <c r="D279" s="7" t="n"/>
      <c r="E279" s="8">
        <f>IF(C279="","",IFERROR(VLOOKUP(C279,Ciclos!$A$5:$B$29,2,FALSE),""))</f>
        <v/>
      </c>
      <c r="F279" s="9">
        <f>IF(OR(D279="",E279=""),"",D279+E279)</f>
        <v/>
      </c>
      <c r="G279" s="10">
        <f>IF(F279="","",TODAY()-F279)</f>
        <v/>
      </c>
      <c r="H279" s="11">
        <f>IF(F279="","",IF(G279&lt;0,"Em dia",IF(G279&lt;=15,"Chamar agora",IF(G279&lt;=60,"Sumida","Reativar"))))</f>
        <v/>
      </c>
      <c r="I279" s="12" t="n"/>
      <c r="J279" s="8">
        <f>IF(I279="","",MONTH(I279))</f>
        <v/>
      </c>
      <c r="K279" s="5" t="n"/>
    </row>
    <row r="280">
      <c r="A280" s="5" t="n"/>
      <c r="B280" s="5" t="n"/>
      <c r="C280" s="5" t="n"/>
      <c r="D280" s="7" t="n"/>
      <c r="E280" s="8">
        <f>IF(C280="","",IFERROR(VLOOKUP(C280,Ciclos!$A$5:$B$29,2,FALSE),""))</f>
        <v/>
      </c>
      <c r="F280" s="9">
        <f>IF(OR(D280="",E280=""),"",D280+E280)</f>
        <v/>
      </c>
      <c r="G280" s="10">
        <f>IF(F280="","",TODAY()-F280)</f>
        <v/>
      </c>
      <c r="H280" s="11">
        <f>IF(F280="","",IF(G280&lt;0,"Em dia",IF(G280&lt;=15,"Chamar agora",IF(G280&lt;=60,"Sumida","Reativar"))))</f>
        <v/>
      </c>
      <c r="I280" s="12" t="n"/>
      <c r="J280" s="8">
        <f>IF(I280="","",MONTH(I280))</f>
        <v/>
      </c>
      <c r="K280" s="5" t="n"/>
    </row>
    <row r="281">
      <c r="A281" s="5" t="n"/>
      <c r="B281" s="5" t="n"/>
      <c r="C281" s="5" t="n"/>
      <c r="D281" s="7" t="n"/>
      <c r="E281" s="8">
        <f>IF(C281="","",IFERROR(VLOOKUP(C281,Ciclos!$A$5:$B$29,2,FALSE),""))</f>
        <v/>
      </c>
      <c r="F281" s="9">
        <f>IF(OR(D281="",E281=""),"",D281+E281)</f>
        <v/>
      </c>
      <c r="G281" s="10">
        <f>IF(F281="","",TODAY()-F281)</f>
        <v/>
      </c>
      <c r="H281" s="11">
        <f>IF(F281="","",IF(G281&lt;0,"Em dia",IF(G281&lt;=15,"Chamar agora",IF(G281&lt;=60,"Sumida","Reativar"))))</f>
        <v/>
      </c>
      <c r="I281" s="12" t="n"/>
      <c r="J281" s="8">
        <f>IF(I281="","",MONTH(I281))</f>
        <v/>
      </c>
      <c r="K281" s="5" t="n"/>
    </row>
    <row r="282">
      <c r="A282" s="5" t="n"/>
      <c r="B282" s="5" t="n"/>
      <c r="C282" s="5" t="n"/>
      <c r="D282" s="7" t="n"/>
      <c r="E282" s="8">
        <f>IF(C282="","",IFERROR(VLOOKUP(C282,Ciclos!$A$5:$B$29,2,FALSE),""))</f>
        <v/>
      </c>
      <c r="F282" s="9">
        <f>IF(OR(D282="",E282=""),"",D282+E282)</f>
        <v/>
      </c>
      <c r="G282" s="10">
        <f>IF(F282="","",TODAY()-F282)</f>
        <v/>
      </c>
      <c r="H282" s="11">
        <f>IF(F282="","",IF(G282&lt;0,"Em dia",IF(G282&lt;=15,"Chamar agora",IF(G282&lt;=60,"Sumida","Reativar"))))</f>
        <v/>
      </c>
      <c r="I282" s="12" t="n"/>
      <c r="J282" s="8">
        <f>IF(I282="","",MONTH(I282))</f>
        <v/>
      </c>
      <c r="K282" s="5" t="n"/>
    </row>
    <row r="283">
      <c r="A283" s="5" t="n"/>
      <c r="B283" s="5" t="n"/>
      <c r="C283" s="5" t="n"/>
      <c r="D283" s="7" t="n"/>
      <c r="E283" s="8">
        <f>IF(C283="","",IFERROR(VLOOKUP(C283,Ciclos!$A$5:$B$29,2,FALSE),""))</f>
        <v/>
      </c>
      <c r="F283" s="9">
        <f>IF(OR(D283="",E283=""),"",D283+E283)</f>
        <v/>
      </c>
      <c r="G283" s="10">
        <f>IF(F283="","",TODAY()-F283)</f>
        <v/>
      </c>
      <c r="H283" s="11">
        <f>IF(F283="","",IF(G283&lt;0,"Em dia",IF(G283&lt;=15,"Chamar agora",IF(G283&lt;=60,"Sumida","Reativar"))))</f>
        <v/>
      </c>
      <c r="I283" s="12" t="n"/>
      <c r="J283" s="8">
        <f>IF(I283="","",MONTH(I283))</f>
        <v/>
      </c>
      <c r="K283" s="5" t="n"/>
    </row>
    <row r="284">
      <c r="A284" s="5" t="n"/>
      <c r="B284" s="5" t="n"/>
      <c r="C284" s="5" t="n"/>
      <c r="D284" s="7" t="n"/>
      <c r="E284" s="8">
        <f>IF(C284="","",IFERROR(VLOOKUP(C284,Ciclos!$A$5:$B$29,2,FALSE),""))</f>
        <v/>
      </c>
      <c r="F284" s="9">
        <f>IF(OR(D284="",E284=""),"",D284+E284)</f>
        <v/>
      </c>
      <c r="G284" s="10">
        <f>IF(F284="","",TODAY()-F284)</f>
        <v/>
      </c>
      <c r="H284" s="11">
        <f>IF(F284="","",IF(G284&lt;0,"Em dia",IF(G284&lt;=15,"Chamar agora",IF(G284&lt;=60,"Sumida","Reativar"))))</f>
        <v/>
      </c>
      <c r="I284" s="12" t="n"/>
      <c r="J284" s="8">
        <f>IF(I284="","",MONTH(I284))</f>
        <v/>
      </c>
      <c r="K284" s="5" t="n"/>
    </row>
    <row r="285">
      <c r="A285" s="5" t="n"/>
      <c r="B285" s="5" t="n"/>
      <c r="C285" s="5" t="n"/>
      <c r="D285" s="7" t="n"/>
      <c r="E285" s="8">
        <f>IF(C285="","",IFERROR(VLOOKUP(C285,Ciclos!$A$5:$B$29,2,FALSE),""))</f>
        <v/>
      </c>
      <c r="F285" s="9">
        <f>IF(OR(D285="",E285=""),"",D285+E285)</f>
        <v/>
      </c>
      <c r="G285" s="10">
        <f>IF(F285="","",TODAY()-F285)</f>
        <v/>
      </c>
      <c r="H285" s="11">
        <f>IF(F285="","",IF(G285&lt;0,"Em dia",IF(G285&lt;=15,"Chamar agora",IF(G285&lt;=60,"Sumida","Reativar"))))</f>
        <v/>
      </c>
      <c r="I285" s="12" t="n"/>
      <c r="J285" s="8">
        <f>IF(I285="","",MONTH(I285))</f>
        <v/>
      </c>
      <c r="K285" s="5" t="n"/>
    </row>
    <row r="286">
      <c r="A286" s="5" t="n"/>
      <c r="B286" s="5" t="n"/>
      <c r="C286" s="5" t="n"/>
      <c r="D286" s="7" t="n"/>
      <c r="E286" s="8">
        <f>IF(C286="","",IFERROR(VLOOKUP(C286,Ciclos!$A$5:$B$29,2,FALSE),""))</f>
        <v/>
      </c>
      <c r="F286" s="9">
        <f>IF(OR(D286="",E286=""),"",D286+E286)</f>
        <v/>
      </c>
      <c r="G286" s="10">
        <f>IF(F286="","",TODAY()-F286)</f>
        <v/>
      </c>
      <c r="H286" s="11">
        <f>IF(F286="","",IF(G286&lt;0,"Em dia",IF(G286&lt;=15,"Chamar agora",IF(G286&lt;=60,"Sumida","Reativar"))))</f>
        <v/>
      </c>
      <c r="I286" s="12" t="n"/>
      <c r="J286" s="8">
        <f>IF(I286="","",MONTH(I286))</f>
        <v/>
      </c>
      <c r="K286" s="5" t="n"/>
    </row>
    <row r="287">
      <c r="A287" s="5" t="n"/>
      <c r="B287" s="5" t="n"/>
      <c r="C287" s="5" t="n"/>
      <c r="D287" s="7" t="n"/>
      <c r="E287" s="8">
        <f>IF(C287="","",IFERROR(VLOOKUP(C287,Ciclos!$A$5:$B$29,2,FALSE),""))</f>
        <v/>
      </c>
      <c r="F287" s="9">
        <f>IF(OR(D287="",E287=""),"",D287+E287)</f>
        <v/>
      </c>
      <c r="G287" s="10">
        <f>IF(F287="","",TODAY()-F287)</f>
        <v/>
      </c>
      <c r="H287" s="11">
        <f>IF(F287="","",IF(G287&lt;0,"Em dia",IF(G287&lt;=15,"Chamar agora",IF(G287&lt;=60,"Sumida","Reativar"))))</f>
        <v/>
      </c>
      <c r="I287" s="12" t="n"/>
      <c r="J287" s="8">
        <f>IF(I287="","",MONTH(I287))</f>
        <v/>
      </c>
      <c r="K287" s="5" t="n"/>
    </row>
    <row r="288">
      <c r="A288" s="5" t="n"/>
      <c r="B288" s="5" t="n"/>
      <c r="C288" s="5" t="n"/>
      <c r="D288" s="7" t="n"/>
      <c r="E288" s="8">
        <f>IF(C288="","",IFERROR(VLOOKUP(C288,Ciclos!$A$5:$B$29,2,FALSE),""))</f>
        <v/>
      </c>
      <c r="F288" s="9">
        <f>IF(OR(D288="",E288=""),"",D288+E288)</f>
        <v/>
      </c>
      <c r="G288" s="10">
        <f>IF(F288="","",TODAY()-F288)</f>
        <v/>
      </c>
      <c r="H288" s="11">
        <f>IF(F288="","",IF(G288&lt;0,"Em dia",IF(G288&lt;=15,"Chamar agora",IF(G288&lt;=60,"Sumida","Reativar"))))</f>
        <v/>
      </c>
      <c r="I288" s="12" t="n"/>
      <c r="J288" s="8">
        <f>IF(I288="","",MONTH(I288))</f>
        <v/>
      </c>
      <c r="K288" s="5" t="n"/>
    </row>
    <row r="289">
      <c r="A289" s="5" t="n"/>
      <c r="B289" s="5" t="n"/>
      <c r="C289" s="5" t="n"/>
      <c r="D289" s="7" t="n"/>
      <c r="E289" s="8">
        <f>IF(C289="","",IFERROR(VLOOKUP(C289,Ciclos!$A$5:$B$29,2,FALSE),""))</f>
        <v/>
      </c>
      <c r="F289" s="9">
        <f>IF(OR(D289="",E289=""),"",D289+E289)</f>
        <v/>
      </c>
      <c r="G289" s="10">
        <f>IF(F289="","",TODAY()-F289)</f>
        <v/>
      </c>
      <c r="H289" s="11">
        <f>IF(F289="","",IF(G289&lt;0,"Em dia",IF(G289&lt;=15,"Chamar agora",IF(G289&lt;=60,"Sumida","Reativar"))))</f>
        <v/>
      </c>
      <c r="I289" s="12" t="n"/>
      <c r="J289" s="8">
        <f>IF(I289="","",MONTH(I289))</f>
        <v/>
      </c>
      <c r="K289" s="5" t="n"/>
    </row>
    <row r="290">
      <c r="A290" s="5" t="n"/>
      <c r="B290" s="5" t="n"/>
      <c r="C290" s="5" t="n"/>
      <c r="D290" s="7" t="n"/>
      <c r="E290" s="8">
        <f>IF(C290="","",IFERROR(VLOOKUP(C290,Ciclos!$A$5:$B$29,2,FALSE),""))</f>
        <v/>
      </c>
      <c r="F290" s="9">
        <f>IF(OR(D290="",E290=""),"",D290+E290)</f>
        <v/>
      </c>
      <c r="G290" s="10">
        <f>IF(F290="","",TODAY()-F290)</f>
        <v/>
      </c>
      <c r="H290" s="11">
        <f>IF(F290="","",IF(G290&lt;0,"Em dia",IF(G290&lt;=15,"Chamar agora",IF(G290&lt;=60,"Sumida","Reativar"))))</f>
        <v/>
      </c>
      <c r="I290" s="12" t="n"/>
      <c r="J290" s="8">
        <f>IF(I290="","",MONTH(I290))</f>
        <v/>
      </c>
      <c r="K290" s="5" t="n"/>
    </row>
    <row r="291">
      <c r="A291" s="5" t="n"/>
      <c r="B291" s="5" t="n"/>
      <c r="C291" s="5" t="n"/>
      <c r="D291" s="7" t="n"/>
      <c r="E291" s="8">
        <f>IF(C291="","",IFERROR(VLOOKUP(C291,Ciclos!$A$5:$B$29,2,FALSE),""))</f>
        <v/>
      </c>
      <c r="F291" s="9">
        <f>IF(OR(D291="",E291=""),"",D291+E291)</f>
        <v/>
      </c>
      <c r="G291" s="10">
        <f>IF(F291="","",TODAY()-F291)</f>
        <v/>
      </c>
      <c r="H291" s="11">
        <f>IF(F291="","",IF(G291&lt;0,"Em dia",IF(G291&lt;=15,"Chamar agora",IF(G291&lt;=60,"Sumida","Reativar"))))</f>
        <v/>
      </c>
      <c r="I291" s="12" t="n"/>
      <c r="J291" s="8">
        <f>IF(I291="","",MONTH(I291))</f>
        <v/>
      </c>
      <c r="K291" s="5" t="n"/>
    </row>
    <row r="292">
      <c r="A292" s="5" t="n"/>
      <c r="B292" s="5" t="n"/>
      <c r="C292" s="5" t="n"/>
      <c r="D292" s="7" t="n"/>
      <c r="E292" s="8">
        <f>IF(C292="","",IFERROR(VLOOKUP(C292,Ciclos!$A$5:$B$29,2,FALSE),""))</f>
        <v/>
      </c>
      <c r="F292" s="9">
        <f>IF(OR(D292="",E292=""),"",D292+E292)</f>
        <v/>
      </c>
      <c r="G292" s="10">
        <f>IF(F292="","",TODAY()-F292)</f>
        <v/>
      </c>
      <c r="H292" s="11">
        <f>IF(F292="","",IF(G292&lt;0,"Em dia",IF(G292&lt;=15,"Chamar agora",IF(G292&lt;=60,"Sumida","Reativar"))))</f>
        <v/>
      </c>
      <c r="I292" s="12" t="n"/>
      <c r="J292" s="8">
        <f>IF(I292="","",MONTH(I292))</f>
        <v/>
      </c>
      <c r="K292" s="5" t="n"/>
    </row>
    <row r="293">
      <c r="A293" s="5" t="n"/>
      <c r="B293" s="5" t="n"/>
      <c r="C293" s="5" t="n"/>
      <c r="D293" s="7" t="n"/>
      <c r="E293" s="8">
        <f>IF(C293="","",IFERROR(VLOOKUP(C293,Ciclos!$A$5:$B$29,2,FALSE),""))</f>
        <v/>
      </c>
      <c r="F293" s="9">
        <f>IF(OR(D293="",E293=""),"",D293+E293)</f>
        <v/>
      </c>
      <c r="G293" s="10">
        <f>IF(F293="","",TODAY()-F293)</f>
        <v/>
      </c>
      <c r="H293" s="11">
        <f>IF(F293="","",IF(G293&lt;0,"Em dia",IF(G293&lt;=15,"Chamar agora",IF(G293&lt;=60,"Sumida","Reativar"))))</f>
        <v/>
      </c>
      <c r="I293" s="12" t="n"/>
      <c r="J293" s="8">
        <f>IF(I293="","",MONTH(I293))</f>
        <v/>
      </c>
      <c r="K293" s="5" t="n"/>
    </row>
    <row r="294">
      <c r="A294" s="5" t="n"/>
      <c r="B294" s="5" t="n"/>
      <c r="C294" s="5" t="n"/>
      <c r="D294" s="7" t="n"/>
      <c r="E294" s="8">
        <f>IF(C294="","",IFERROR(VLOOKUP(C294,Ciclos!$A$5:$B$29,2,FALSE),""))</f>
        <v/>
      </c>
      <c r="F294" s="9">
        <f>IF(OR(D294="",E294=""),"",D294+E294)</f>
        <v/>
      </c>
      <c r="G294" s="10">
        <f>IF(F294="","",TODAY()-F294)</f>
        <v/>
      </c>
      <c r="H294" s="11">
        <f>IF(F294="","",IF(G294&lt;0,"Em dia",IF(G294&lt;=15,"Chamar agora",IF(G294&lt;=60,"Sumida","Reativar"))))</f>
        <v/>
      </c>
      <c r="I294" s="12" t="n"/>
      <c r="J294" s="8">
        <f>IF(I294="","",MONTH(I294))</f>
        <v/>
      </c>
      <c r="K294" s="5" t="n"/>
    </row>
    <row r="295">
      <c r="A295" s="5" t="n"/>
      <c r="B295" s="5" t="n"/>
      <c r="C295" s="5" t="n"/>
      <c r="D295" s="7" t="n"/>
      <c r="E295" s="8">
        <f>IF(C295="","",IFERROR(VLOOKUP(C295,Ciclos!$A$5:$B$29,2,FALSE),""))</f>
        <v/>
      </c>
      <c r="F295" s="9">
        <f>IF(OR(D295="",E295=""),"",D295+E295)</f>
        <v/>
      </c>
      <c r="G295" s="10">
        <f>IF(F295="","",TODAY()-F295)</f>
        <v/>
      </c>
      <c r="H295" s="11">
        <f>IF(F295="","",IF(G295&lt;0,"Em dia",IF(G295&lt;=15,"Chamar agora",IF(G295&lt;=60,"Sumida","Reativar"))))</f>
        <v/>
      </c>
      <c r="I295" s="12" t="n"/>
      <c r="J295" s="8">
        <f>IF(I295="","",MONTH(I295))</f>
        <v/>
      </c>
      <c r="K295" s="5" t="n"/>
    </row>
    <row r="296">
      <c r="A296" s="5" t="n"/>
      <c r="B296" s="5" t="n"/>
      <c r="C296" s="5" t="n"/>
      <c r="D296" s="7" t="n"/>
      <c r="E296" s="8">
        <f>IF(C296="","",IFERROR(VLOOKUP(C296,Ciclos!$A$5:$B$29,2,FALSE),""))</f>
        <v/>
      </c>
      <c r="F296" s="9">
        <f>IF(OR(D296="",E296=""),"",D296+E296)</f>
        <v/>
      </c>
      <c r="G296" s="10">
        <f>IF(F296="","",TODAY()-F296)</f>
        <v/>
      </c>
      <c r="H296" s="11">
        <f>IF(F296="","",IF(G296&lt;0,"Em dia",IF(G296&lt;=15,"Chamar agora",IF(G296&lt;=60,"Sumida","Reativar"))))</f>
        <v/>
      </c>
      <c r="I296" s="12" t="n"/>
      <c r="J296" s="8">
        <f>IF(I296="","",MONTH(I296))</f>
        <v/>
      </c>
      <c r="K296" s="5" t="n"/>
    </row>
    <row r="297">
      <c r="A297" s="5" t="n"/>
      <c r="B297" s="5" t="n"/>
      <c r="C297" s="5" t="n"/>
      <c r="D297" s="7" t="n"/>
      <c r="E297" s="8">
        <f>IF(C297="","",IFERROR(VLOOKUP(C297,Ciclos!$A$5:$B$29,2,FALSE),""))</f>
        <v/>
      </c>
      <c r="F297" s="9">
        <f>IF(OR(D297="",E297=""),"",D297+E297)</f>
        <v/>
      </c>
      <c r="G297" s="10">
        <f>IF(F297="","",TODAY()-F297)</f>
        <v/>
      </c>
      <c r="H297" s="11">
        <f>IF(F297="","",IF(G297&lt;0,"Em dia",IF(G297&lt;=15,"Chamar agora",IF(G297&lt;=60,"Sumida","Reativar"))))</f>
        <v/>
      </c>
      <c r="I297" s="12" t="n"/>
      <c r="J297" s="8">
        <f>IF(I297="","",MONTH(I297))</f>
        <v/>
      </c>
      <c r="K297" s="5" t="n"/>
    </row>
    <row r="298">
      <c r="A298" s="5" t="n"/>
      <c r="B298" s="5" t="n"/>
      <c r="C298" s="5" t="n"/>
      <c r="D298" s="7" t="n"/>
      <c r="E298" s="8">
        <f>IF(C298="","",IFERROR(VLOOKUP(C298,Ciclos!$A$5:$B$29,2,FALSE),""))</f>
        <v/>
      </c>
      <c r="F298" s="9">
        <f>IF(OR(D298="",E298=""),"",D298+E298)</f>
        <v/>
      </c>
      <c r="G298" s="10">
        <f>IF(F298="","",TODAY()-F298)</f>
        <v/>
      </c>
      <c r="H298" s="11">
        <f>IF(F298="","",IF(G298&lt;0,"Em dia",IF(G298&lt;=15,"Chamar agora",IF(G298&lt;=60,"Sumida","Reativar"))))</f>
        <v/>
      </c>
      <c r="I298" s="12" t="n"/>
      <c r="J298" s="8">
        <f>IF(I298="","",MONTH(I298))</f>
        <v/>
      </c>
      <c r="K298" s="5" t="n"/>
    </row>
    <row r="299">
      <c r="A299" s="5" t="n"/>
      <c r="B299" s="5" t="n"/>
      <c r="C299" s="5" t="n"/>
      <c r="D299" s="7" t="n"/>
      <c r="E299" s="8">
        <f>IF(C299="","",IFERROR(VLOOKUP(C299,Ciclos!$A$5:$B$29,2,FALSE),""))</f>
        <v/>
      </c>
      <c r="F299" s="9">
        <f>IF(OR(D299="",E299=""),"",D299+E299)</f>
        <v/>
      </c>
      <c r="G299" s="10">
        <f>IF(F299="","",TODAY()-F299)</f>
        <v/>
      </c>
      <c r="H299" s="11">
        <f>IF(F299="","",IF(G299&lt;0,"Em dia",IF(G299&lt;=15,"Chamar agora",IF(G299&lt;=60,"Sumida","Reativar"))))</f>
        <v/>
      </c>
      <c r="I299" s="12" t="n"/>
      <c r="J299" s="8">
        <f>IF(I299="","",MONTH(I299))</f>
        <v/>
      </c>
      <c r="K299" s="5" t="n"/>
    </row>
    <row r="300">
      <c r="A300" s="5" t="n"/>
      <c r="B300" s="5" t="n"/>
      <c r="C300" s="5" t="n"/>
      <c r="D300" s="7" t="n"/>
      <c r="E300" s="8">
        <f>IF(C300="","",IFERROR(VLOOKUP(C300,Ciclos!$A$5:$B$29,2,FALSE),""))</f>
        <v/>
      </c>
      <c r="F300" s="9">
        <f>IF(OR(D300="",E300=""),"",D300+E300)</f>
        <v/>
      </c>
      <c r="G300" s="10">
        <f>IF(F300="","",TODAY()-F300)</f>
        <v/>
      </c>
      <c r="H300" s="11">
        <f>IF(F300="","",IF(G300&lt;0,"Em dia",IF(G300&lt;=15,"Chamar agora",IF(G300&lt;=60,"Sumida","Reativar"))))</f>
        <v/>
      </c>
      <c r="I300" s="12" t="n"/>
      <c r="J300" s="8">
        <f>IF(I300="","",MONTH(I300))</f>
        <v/>
      </c>
      <c r="K300" s="5" t="n"/>
    </row>
    <row r="301">
      <c r="A301" s="5" t="n"/>
      <c r="B301" s="5" t="n"/>
      <c r="C301" s="5" t="n"/>
      <c r="D301" s="7" t="n"/>
      <c r="E301" s="8">
        <f>IF(C301="","",IFERROR(VLOOKUP(C301,Ciclos!$A$5:$B$29,2,FALSE),""))</f>
        <v/>
      </c>
      <c r="F301" s="9">
        <f>IF(OR(D301="",E301=""),"",D301+E301)</f>
        <v/>
      </c>
      <c r="G301" s="10">
        <f>IF(F301="","",TODAY()-F301)</f>
        <v/>
      </c>
      <c r="H301" s="11">
        <f>IF(F301="","",IF(G301&lt;0,"Em dia",IF(G301&lt;=15,"Chamar agora",IF(G301&lt;=60,"Sumida","Reativar"))))</f>
        <v/>
      </c>
      <c r="I301" s="12" t="n"/>
      <c r="J301" s="8">
        <f>IF(I301="","",MONTH(I301))</f>
        <v/>
      </c>
      <c r="K301" s="5" t="n"/>
    </row>
    <row r="302">
      <c r="A302" s="5" t="n"/>
      <c r="B302" s="5" t="n"/>
      <c r="C302" s="5" t="n"/>
      <c r="D302" s="7" t="n"/>
      <c r="E302" s="8">
        <f>IF(C302="","",IFERROR(VLOOKUP(C302,Ciclos!$A$5:$B$29,2,FALSE),""))</f>
        <v/>
      </c>
      <c r="F302" s="9">
        <f>IF(OR(D302="",E302=""),"",D302+E302)</f>
        <v/>
      </c>
      <c r="G302" s="10">
        <f>IF(F302="","",TODAY()-F302)</f>
        <v/>
      </c>
      <c r="H302" s="11">
        <f>IF(F302="","",IF(G302&lt;0,"Em dia",IF(G302&lt;=15,"Chamar agora",IF(G302&lt;=60,"Sumida","Reativar"))))</f>
        <v/>
      </c>
      <c r="I302" s="12" t="n"/>
      <c r="J302" s="8">
        <f>IF(I302="","",MONTH(I302))</f>
        <v/>
      </c>
      <c r="K302" s="5" t="n"/>
    </row>
    <row r="303">
      <c r="A303" s="5" t="n"/>
      <c r="B303" s="5" t="n"/>
      <c r="C303" s="5" t="n"/>
      <c r="D303" s="7" t="n"/>
      <c r="E303" s="8">
        <f>IF(C303="","",IFERROR(VLOOKUP(C303,Ciclos!$A$5:$B$29,2,FALSE),""))</f>
        <v/>
      </c>
      <c r="F303" s="9">
        <f>IF(OR(D303="",E303=""),"",D303+E303)</f>
        <v/>
      </c>
      <c r="G303" s="10">
        <f>IF(F303="","",TODAY()-F303)</f>
        <v/>
      </c>
      <c r="H303" s="11">
        <f>IF(F303="","",IF(G303&lt;0,"Em dia",IF(G303&lt;=15,"Chamar agora",IF(G303&lt;=60,"Sumida","Reativar"))))</f>
        <v/>
      </c>
      <c r="I303" s="12" t="n"/>
      <c r="J303" s="8">
        <f>IF(I303="","",MONTH(I303))</f>
        <v/>
      </c>
      <c r="K303" s="5" t="n"/>
    </row>
    <row r="304">
      <c r="A304" s="5" t="n"/>
      <c r="B304" s="5" t="n"/>
      <c r="C304" s="5" t="n"/>
      <c r="D304" s="7" t="n"/>
      <c r="E304" s="8">
        <f>IF(C304="","",IFERROR(VLOOKUP(C304,Ciclos!$A$5:$B$29,2,FALSE),""))</f>
        <v/>
      </c>
      <c r="F304" s="9">
        <f>IF(OR(D304="",E304=""),"",D304+E304)</f>
        <v/>
      </c>
      <c r="G304" s="10">
        <f>IF(F304="","",TODAY()-F304)</f>
        <v/>
      </c>
      <c r="H304" s="11">
        <f>IF(F304="","",IF(G304&lt;0,"Em dia",IF(G304&lt;=15,"Chamar agora",IF(G304&lt;=60,"Sumida","Reativar"))))</f>
        <v/>
      </c>
      <c r="I304" s="12" t="n"/>
      <c r="J304" s="8">
        <f>IF(I304="","",MONTH(I304))</f>
        <v/>
      </c>
      <c r="K304" s="5" t="n"/>
    </row>
    <row r="305">
      <c r="A305" s="5" t="n"/>
      <c r="B305" s="5" t="n"/>
      <c r="C305" s="5" t="n"/>
      <c r="D305" s="7" t="n"/>
      <c r="E305" s="8">
        <f>IF(C305="","",IFERROR(VLOOKUP(C305,Ciclos!$A$5:$B$29,2,FALSE),""))</f>
        <v/>
      </c>
      <c r="F305" s="9">
        <f>IF(OR(D305="",E305=""),"",D305+E305)</f>
        <v/>
      </c>
      <c r="G305" s="10">
        <f>IF(F305="","",TODAY()-F305)</f>
        <v/>
      </c>
      <c r="H305" s="11">
        <f>IF(F305="","",IF(G305&lt;0,"Em dia",IF(G305&lt;=15,"Chamar agora",IF(G305&lt;=60,"Sumida","Reativar"))))</f>
        <v/>
      </c>
      <c r="I305" s="12" t="n"/>
      <c r="J305" s="8">
        <f>IF(I305="","",MONTH(I305))</f>
        <v/>
      </c>
      <c r="K305" s="5" t="n"/>
    </row>
    <row r="306">
      <c r="A306" s="5" t="n"/>
      <c r="B306" s="5" t="n"/>
      <c r="C306" s="5" t="n"/>
      <c r="D306" s="7" t="n"/>
      <c r="E306" s="8">
        <f>IF(C306="","",IFERROR(VLOOKUP(C306,Ciclos!$A$5:$B$29,2,FALSE),""))</f>
        <v/>
      </c>
      <c r="F306" s="9">
        <f>IF(OR(D306="",E306=""),"",D306+E306)</f>
        <v/>
      </c>
      <c r="G306" s="10">
        <f>IF(F306="","",TODAY()-F306)</f>
        <v/>
      </c>
      <c r="H306" s="11">
        <f>IF(F306="","",IF(G306&lt;0,"Em dia",IF(G306&lt;=15,"Chamar agora",IF(G306&lt;=60,"Sumida","Reativar"))))</f>
        <v/>
      </c>
      <c r="I306" s="12" t="n"/>
      <c r="J306" s="8">
        <f>IF(I306="","",MONTH(I306))</f>
        <v/>
      </c>
      <c r="K306" s="5" t="n"/>
    </row>
    <row r="307">
      <c r="A307" s="5" t="n"/>
      <c r="B307" s="5" t="n"/>
      <c r="C307" s="5" t="n"/>
      <c r="D307" s="7" t="n"/>
      <c r="E307" s="8">
        <f>IF(C307="","",IFERROR(VLOOKUP(C307,Ciclos!$A$5:$B$29,2,FALSE),""))</f>
        <v/>
      </c>
      <c r="F307" s="9">
        <f>IF(OR(D307="",E307=""),"",D307+E307)</f>
        <v/>
      </c>
      <c r="G307" s="10">
        <f>IF(F307="","",TODAY()-F307)</f>
        <v/>
      </c>
      <c r="H307" s="11">
        <f>IF(F307="","",IF(G307&lt;0,"Em dia",IF(G307&lt;=15,"Chamar agora",IF(G307&lt;=60,"Sumida","Reativar"))))</f>
        <v/>
      </c>
      <c r="I307" s="12" t="n"/>
      <c r="J307" s="8">
        <f>IF(I307="","",MONTH(I307))</f>
        <v/>
      </c>
      <c r="K307" s="5" t="n"/>
    </row>
    <row r="308">
      <c r="A308" s="5" t="n"/>
      <c r="B308" s="5" t="n"/>
      <c r="C308" s="5" t="n"/>
      <c r="D308" s="7" t="n"/>
      <c r="E308" s="8">
        <f>IF(C308="","",IFERROR(VLOOKUP(C308,Ciclos!$A$5:$B$29,2,FALSE),""))</f>
        <v/>
      </c>
      <c r="F308" s="9">
        <f>IF(OR(D308="",E308=""),"",D308+E308)</f>
        <v/>
      </c>
      <c r="G308" s="10">
        <f>IF(F308="","",TODAY()-F308)</f>
        <v/>
      </c>
      <c r="H308" s="11">
        <f>IF(F308="","",IF(G308&lt;0,"Em dia",IF(G308&lt;=15,"Chamar agora",IF(G308&lt;=60,"Sumida","Reativar"))))</f>
        <v/>
      </c>
      <c r="I308" s="12" t="n"/>
      <c r="J308" s="8">
        <f>IF(I308="","",MONTH(I308))</f>
        <v/>
      </c>
      <c r="K308" s="5" t="n"/>
    </row>
    <row r="309">
      <c r="A309" s="5" t="n"/>
      <c r="B309" s="5" t="n"/>
      <c r="C309" s="5" t="n"/>
      <c r="D309" s="7" t="n"/>
      <c r="E309" s="8">
        <f>IF(C309="","",IFERROR(VLOOKUP(C309,Ciclos!$A$5:$B$29,2,FALSE),""))</f>
        <v/>
      </c>
      <c r="F309" s="9">
        <f>IF(OR(D309="",E309=""),"",D309+E309)</f>
        <v/>
      </c>
      <c r="G309" s="10">
        <f>IF(F309="","",TODAY()-F309)</f>
        <v/>
      </c>
      <c r="H309" s="11">
        <f>IF(F309="","",IF(G309&lt;0,"Em dia",IF(G309&lt;=15,"Chamar agora",IF(G309&lt;=60,"Sumida","Reativar"))))</f>
        <v/>
      </c>
      <c r="I309" s="12" t="n"/>
      <c r="J309" s="8">
        <f>IF(I309="","",MONTH(I309))</f>
        <v/>
      </c>
      <c r="K309" s="5" t="n"/>
    </row>
    <row r="310">
      <c r="A310" s="5" t="n"/>
      <c r="B310" s="5" t="n"/>
      <c r="C310" s="5" t="n"/>
      <c r="D310" s="7" t="n"/>
      <c r="E310" s="8">
        <f>IF(C310="","",IFERROR(VLOOKUP(C310,Ciclos!$A$5:$B$29,2,FALSE),""))</f>
        <v/>
      </c>
      <c r="F310" s="9">
        <f>IF(OR(D310="",E310=""),"",D310+E310)</f>
        <v/>
      </c>
      <c r="G310" s="10">
        <f>IF(F310="","",TODAY()-F310)</f>
        <v/>
      </c>
      <c r="H310" s="11">
        <f>IF(F310="","",IF(G310&lt;0,"Em dia",IF(G310&lt;=15,"Chamar agora",IF(G310&lt;=60,"Sumida","Reativar"))))</f>
        <v/>
      </c>
      <c r="I310" s="12" t="n"/>
      <c r="J310" s="8">
        <f>IF(I310="","",MONTH(I310))</f>
        <v/>
      </c>
      <c r="K310" s="5" t="n"/>
    </row>
    <row r="311">
      <c r="A311" s="5" t="n"/>
      <c r="B311" s="5" t="n"/>
      <c r="C311" s="5" t="n"/>
      <c r="D311" s="7" t="n"/>
      <c r="E311" s="8">
        <f>IF(C311="","",IFERROR(VLOOKUP(C311,Ciclos!$A$5:$B$29,2,FALSE),""))</f>
        <v/>
      </c>
      <c r="F311" s="9">
        <f>IF(OR(D311="",E311=""),"",D311+E311)</f>
        <v/>
      </c>
      <c r="G311" s="10">
        <f>IF(F311="","",TODAY()-F311)</f>
        <v/>
      </c>
      <c r="H311" s="11">
        <f>IF(F311="","",IF(G311&lt;0,"Em dia",IF(G311&lt;=15,"Chamar agora",IF(G311&lt;=60,"Sumida","Reativar"))))</f>
        <v/>
      </c>
      <c r="I311" s="12" t="n"/>
      <c r="J311" s="8">
        <f>IF(I311="","",MONTH(I311))</f>
        <v/>
      </c>
      <c r="K311" s="5" t="n"/>
    </row>
    <row r="312">
      <c r="A312" s="5" t="n"/>
      <c r="B312" s="5" t="n"/>
      <c r="C312" s="5" t="n"/>
      <c r="D312" s="7" t="n"/>
      <c r="E312" s="8">
        <f>IF(C312="","",IFERROR(VLOOKUP(C312,Ciclos!$A$5:$B$29,2,FALSE),""))</f>
        <v/>
      </c>
      <c r="F312" s="9">
        <f>IF(OR(D312="",E312=""),"",D312+E312)</f>
        <v/>
      </c>
      <c r="G312" s="10">
        <f>IF(F312="","",TODAY()-F312)</f>
        <v/>
      </c>
      <c r="H312" s="11">
        <f>IF(F312="","",IF(G312&lt;0,"Em dia",IF(G312&lt;=15,"Chamar agora",IF(G312&lt;=60,"Sumida","Reativar"))))</f>
        <v/>
      </c>
      <c r="I312" s="12" t="n"/>
      <c r="J312" s="8">
        <f>IF(I312="","",MONTH(I312))</f>
        <v/>
      </c>
      <c r="K312" s="5" t="n"/>
    </row>
    <row r="313">
      <c r="A313" s="5" t="n"/>
      <c r="B313" s="5" t="n"/>
      <c r="C313" s="5" t="n"/>
      <c r="D313" s="7" t="n"/>
      <c r="E313" s="8">
        <f>IF(C313="","",IFERROR(VLOOKUP(C313,Ciclos!$A$5:$B$29,2,FALSE),""))</f>
        <v/>
      </c>
      <c r="F313" s="9">
        <f>IF(OR(D313="",E313=""),"",D313+E313)</f>
        <v/>
      </c>
      <c r="G313" s="10">
        <f>IF(F313="","",TODAY()-F313)</f>
        <v/>
      </c>
      <c r="H313" s="11">
        <f>IF(F313="","",IF(G313&lt;0,"Em dia",IF(G313&lt;=15,"Chamar agora",IF(G313&lt;=60,"Sumida","Reativar"))))</f>
        <v/>
      </c>
      <c r="I313" s="12" t="n"/>
      <c r="J313" s="8">
        <f>IF(I313="","",MONTH(I313))</f>
        <v/>
      </c>
      <c r="K313" s="5" t="n"/>
    </row>
    <row r="314">
      <c r="A314" s="5" t="n"/>
      <c r="B314" s="5" t="n"/>
      <c r="C314" s="5" t="n"/>
      <c r="D314" s="7" t="n"/>
      <c r="E314" s="8">
        <f>IF(C314="","",IFERROR(VLOOKUP(C314,Ciclos!$A$5:$B$29,2,FALSE),""))</f>
        <v/>
      </c>
      <c r="F314" s="9">
        <f>IF(OR(D314="",E314=""),"",D314+E314)</f>
        <v/>
      </c>
      <c r="G314" s="10">
        <f>IF(F314="","",TODAY()-F314)</f>
        <v/>
      </c>
      <c r="H314" s="11">
        <f>IF(F314="","",IF(G314&lt;0,"Em dia",IF(G314&lt;=15,"Chamar agora",IF(G314&lt;=60,"Sumida","Reativar"))))</f>
        <v/>
      </c>
      <c r="I314" s="12" t="n"/>
      <c r="J314" s="8">
        <f>IF(I314="","",MONTH(I314))</f>
        <v/>
      </c>
      <c r="K314" s="5" t="n"/>
    </row>
    <row r="315">
      <c r="A315" s="5" t="n"/>
      <c r="B315" s="5" t="n"/>
      <c r="C315" s="5" t="n"/>
      <c r="D315" s="7" t="n"/>
      <c r="E315" s="8">
        <f>IF(C315="","",IFERROR(VLOOKUP(C315,Ciclos!$A$5:$B$29,2,FALSE),""))</f>
        <v/>
      </c>
      <c r="F315" s="9">
        <f>IF(OR(D315="",E315=""),"",D315+E315)</f>
        <v/>
      </c>
      <c r="G315" s="10">
        <f>IF(F315="","",TODAY()-F315)</f>
        <v/>
      </c>
      <c r="H315" s="11">
        <f>IF(F315="","",IF(G315&lt;0,"Em dia",IF(G315&lt;=15,"Chamar agora",IF(G315&lt;=60,"Sumida","Reativar"))))</f>
        <v/>
      </c>
      <c r="I315" s="12" t="n"/>
      <c r="J315" s="8">
        <f>IF(I315="","",MONTH(I315))</f>
        <v/>
      </c>
      <c r="K315" s="5" t="n"/>
    </row>
    <row r="316">
      <c r="A316" s="5" t="n"/>
      <c r="B316" s="5" t="n"/>
      <c r="C316" s="5" t="n"/>
      <c r="D316" s="7" t="n"/>
      <c r="E316" s="8">
        <f>IF(C316="","",IFERROR(VLOOKUP(C316,Ciclos!$A$5:$B$29,2,FALSE),""))</f>
        <v/>
      </c>
      <c r="F316" s="9">
        <f>IF(OR(D316="",E316=""),"",D316+E316)</f>
        <v/>
      </c>
      <c r="G316" s="10">
        <f>IF(F316="","",TODAY()-F316)</f>
        <v/>
      </c>
      <c r="H316" s="11">
        <f>IF(F316="","",IF(G316&lt;0,"Em dia",IF(G316&lt;=15,"Chamar agora",IF(G316&lt;=60,"Sumida","Reativar"))))</f>
        <v/>
      </c>
      <c r="I316" s="12" t="n"/>
      <c r="J316" s="8">
        <f>IF(I316="","",MONTH(I316))</f>
        <v/>
      </c>
      <c r="K316" s="5" t="n"/>
    </row>
    <row r="317">
      <c r="A317" s="5" t="n"/>
      <c r="B317" s="5" t="n"/>
      <c r="C317" s="5" t="n"/>
      <c r="D317" s="7" t="n"/>
      <c r="E317" s="8">
        <f>IF(C317="","",IFERROR(VLOOKUP(C317,Ciclos!$A$5:$B$29,2,FALSE),""))</f>
        <v/>
      </c>
      <c r="F317" s="9">
        <f>IF(OR(D317="",E317=""),"",D317+E317)</f>
        <v/>
      </c>
      <c r="G317" s="10">
        <f>IF(F317="","",TODAY()-F317)</f>
        <v/>
      </c>
      <c r="H317" s="11">
        <f>IF(F317="","",IF(G317&lt;0,"Em dia",IF(G317&lt;=15,"Chamar agora",IF(G317&lt;=60,"Sumida","Reativar"))))</f>
        <v/>
      </c>
      <c r="I317" s="12" t="n"/>
      <c r="J317" s="8">
        <f>IF(I317="","",MONTH(I317))</f>
        <v/>
      </c>
      <c r="K317" s="5" t="n"/>
    </row>
    <row r="318">
      <c r="A318" s="5" t="n"/>
      <c r="B318" s="5" t="n"/>
      <c r="C318" s="5" t="n"/>
      <c r="D318" s="7" t="n"/>
      <c r="E318" s="8">
        <f>IF(C318="","",IFERROR(VLOOKUP(C318,Ciclos!$A$5:$B$29,2,FALSE),""))</f>
        <v/>
      </c>
      <c r="F318" s="9">
        <f>IF(OR(D318="",E318=""),"",D318+E318)</f>
        <v/>
      </c>
      <c r="G318" s="10">
        <f>IF(F318="","",TODAY()-F318)</f>
        <v/>
      </c>
      <c r="H318" s="11">
        <f>IF(F318="","",IF(G318&lt;0,"Em dia",IF(G318&lt;=15,"Chamar agora",IF(G318&lt;=60,"Sumida","Reativar"))))</f>
        <v/>
      </c>
      <c r="I318" s="12" t="n"/>
      <c r="J318" s="8">
        <f>IF(I318="","",MONTH(I318))</f>
        <v/>
      </c>
      <c r="K318" s="5" t="n"/>
    </row>
    <row r="319">
      <c r="A319" s="5" t="n"/>
      <c r="B319" s="5" t="n"/>
      <c r="C319" s="5" t="n"/>
      <c r="D319" s="7" t="n"/>
      <c r="E319" s="8">
        <f>IF(C319="","",IFERROR(VLOOKUP(C319,Ciclos!$A$5:$B$29,2,FALSE),""))</f>
        <v/>
      </c>
      <c r="F319" s="9">
        <f>IF(OR(D319="",E319=""),"",D319+E319)</f>
        <v/>
      </c>
      <c r="G319" s="10">
        <f>IF(F319="","",TODAY()-F319)</f>
        <v/>
      </c>
      <c r="H319" s="11">
        <f>IF(F319="","",IF(G319&lt;0,"Em dia",IF(G319&lt;=15,"Chamar agora",IF(G319&lt;=60,"Sumida","Reativar"))))</f>
        <v/>
      </c>
      <c r="I319" s="12" t="n"/>
      <c r="J319" s="8">
        <f>IF(I319="","",MONTH(I319))</f>
        <v/>
      </c>
      <c r="K319" s="5" t="n"/>
    </row>
    <row r="320">
      <c r="A320" s="5" t="n"/>
      <c r="B320" s="5" t="n"/>
      <c r="C320" s="5" t="n"/>
      <c r="D320" s="7" t="n"/>
      <c r="E320" s="8">
        <f>IF(C320="","",IFERROR(VLOOKUP(C320,Ciclos!$A$5:$B$29,2,FALSE),""))</f>
        <v/>
      </c>
      <c r="F320" s="9">
        <f>IF(OR(D320="",E320=""),"",D320+E320)</f>
        <v/>
      </c>
      <c r="G320" s="10">
        <f>IF(F320="","",TODAY()-F320)</f>
        <v/>
      </c>
      <c r="H320" s="11">
        <f>IF(F320="","",IF(G320&lt;0,"Em dia",IF(G320&lt;=15,"Chamar agora",IF(G320&lt;=60,"Sumida","Reativar"))))</f>
        <v/>
      </c>
      <c r="I320" s="12" t="n"/>
      <c r="J320" s="8">
        <f>IF(I320="","",MONTH(I320))</f>
        <v/>
      </c>
      <c r="K320" s="5" t="n"/>
    </row>
    <row r="321">
      <c r="A321" s="5" t="n"/>
      <c r="B321" s="5" t="n"/>
      <c r="C321" s="5" t="n"/>
      <c r="D321" s="7" t="n"/>
      <c r="E321" s="8">
        <f>IF(C321="","",IFERROR(VLOOKUP(C321,Ciclos!$A$5:$B$29,2,FALSE),""))</f>
        <v/>
      </c>
      <c r="F321" s="9">
        <f>IF(OR(D321="",E321=""),"",D321+E321)</f>
        <v/>
      </c>
      <c r="G321" s="10">
        <f>IF(F321="","",TODAY()-F321)</f>
        <v/>
      </c>
      <c r="H321" s="11">
        <f>IF(F321="","",IF(G321&lt;0,"Em dia",IF(G321&lt;=15,"Chamar agora",IF(G321&lt;=60,"Sumida","Reativar"))))</f>
        <v/>
      </c>
      <c r="I321" s="12" t="n"/>
      <c r="J321" s="8">
        <f>IF(I321="","",MONTH(I321))</f>
        <v/>
      </c>
      <c r="K321" s="5" t="n"/>
    </row>
    <row r="322">
      <c r="A322" s="5" t="n"/>
      <c r="B322" s="5" t="n"/>
      <c r="C322" s="5" t="n"/>
      <c r="D322" s="7" t="n"/>
      <c r="E322" s="8">
        <f>IF(C322="","",IFERROR(VLOOKUP(C322,Ciclos!$A$5:$B$29,2,FALSE),""))</f>
        <v/>
      </c>
      <c r="F322" s="9">
        <f>IF(OR(D322="",E322=""),"",D322+E322)</f>
        <v/>
      </c>
      <c r="G322" s="10">
        <f>IF(F322="","",TODAY()-F322)</f>
        <v/>
      </c>
      <c r="H322" s="11">
        <f>IF(F322="","",IF(G322&lt;0,"Em dia",IF(G322&lt;=15,"Chamar agora",IF(G322&lt;=60,"Sumida","Reativar"))))</f>
        <v/>
      </c>
      <c r="I322" s="12" t="n"/>
      <c r="J322" s="8">
        <f>IF(I322="","",MONTH(I322))</f>
        <v/>
      </c>
      <c r="K322" s="5" t="n"/>
    </row>
    <row r="323">
      <c r="A323" s="5" t="n"/>
      <c r="B323" s="5" t="n"/>
      <c r="C323" s="5" t="n"/>
      <c r="D323" s="7" t="n"/>
      <c r="E323" s="8">
        <f>IF(C323="","",IFERROR(VLOOKUP(C323,Ciclos!$A$5:$B$29,2,FALSE),""))</f>
        <v/>
      </c>
      <c r="F323" s="9">
        <f>IF(OR(D323="",E323=""),"",D323+E323)</f>
        <v/>
      </c>
      <c r="G323" s="10">
        <f>IF(F323="","",TODAY()-F323)</f>
        <v/>
      </c>
      <c r="H323" s="11">
        <f>IF(F323="","",IF(G323&lt;0,"Em dia",IF(G323&lt;=15,"Chamar agora",IF(G323&lt;=60,"Sumida","Reativar"))))</f>
        <v/>
      </c>
      <c r="I323" s="12" t="n"/>
      <c r="J323" s="8">
        <f>IF(I323="","",MONTH(I323))</f>
        <v/>
      </c>
      <c r="K323" s="5" t="n"/>
    </row>
    <row r="324">
      <c r="A324" s="5" t="n"/>
      <c r="B324" s="5" t="n"/>
      <c r="C324" s="5" t="n"/>
      <c r="D324" s="7" t="n"/>
      <c r="E324" s="8">
        <f>IF(C324="","",IFERROR(VLOOKUP(C324,Ciclos!$A$5:$B$29,2,FALSE),""))</f>
        <v/>
      </c>
      <c r="F324" s="9">
        <f>IF(OR(D324="",E324=""),"",D324+E324)</f>
        <v/>
      </c>
      <c r="G324" s="10">
        <f>IF(F324="","",TODAY()-F324)</f>
        <v/>
      </c>
      <c r="H324" s="11">
        <f>IF(F324="","",IF(G324&lt;0,"Em dia",IF(G324&lt;=15,"Chamar agora",IF(G324&lt;=60,"Sumida","Reativar"))))</f>
        <v/>
      </c>
      <c r="I324" s="12" t="n"/>
      <c r="J324" s="8">
        <f>IF(I324="","",MONTH(I324))</f>
        <v/>
      </c>
      <c r="K324" s="5" t="n"/>
    </row>
    <row r="325">
      <c r="A325" s="5" t="n"/>
      <c r="B325" s="5" t="n"/>
      <c r="C325" s="5" t="n"/>
      <c r="D325" s="7" t="n"/>
      <c r="E325" s="8">
        <f>IF(C325="","",IFERROR(VLOOKUP(C325,Ciclos!$A$5:$B$29,2,FALSE),""))</f>
        <v/>
      </c>
      <c r="F325" s="9">
        <f>IF(OR(D325="",E325=""),"",D325+E325)</f>
        <v/>
      </c>
      <c r="G325" s="10">
        <f>IF(F325="","",TODAY()-F325)</f>
        <v/>
      </c>
      <c r="H325" s="11">
        <f>IF(F325="","",IF(G325&lt;0,"Em dia",IF(G325&lt;=15,"Chamar agora",IF(G325&lt;=60,"Sumida","Reativar"))))</f>
        <v/>
      </c>
      <c r="I325" s="12" t="n"/>
      <c r="J325" s="8">
        <f>IF(I325="","",MONTH(I325))</f>
        <v/>
      </c>
      <c r="K325" s="5" t="n"/>
    </row>
    <row r="326">
      <c r="A326" s="5" t="n"/>
      <c r="B326" s="5" t="n"/>
      <c r="C326" s="5" t="n"/>
      <c r="D326" s="7" t="n"/>
      <c r="E326" s="8">
        <f>IF(C326="","",IFERROR(VLOOKUP(C326,Ciclos!$A$5:$B$29,2,FALSE),""))</f>
        <v/>
      </c>
      <c r="F326" s="9">
        <f>IF(OR(D326="",E326=""),"",D326+E326)</f>
        <v/>
      </c>
      <c r="G326" s="10">
        <f>IF(F326="","",TODAY()-F326)</f>
        <v/>
      </c>
      <c r="H326" s="11">
        <f>IF(F326="","",IF(G326&lt;0,"Em dia",IF(G326&lt;=15,"Chamar agora",IF(G326&lt;=60,"Sumida","Reativar"))))</f>
        <v/>
      </c>
      <c r="I326" s="12" t="n"/>
      <c r="J326" s="8">
        <f>IF(I326="","",MONTH(I326))</f>
        <v/>
      </c>
      <c r="K326" s="5" t="n"/>
    </row>
    <row r="327">
      <c r="A327" s="5" t="n"/>
      <c r="B327" s="5" t="n"/>
      <c r="C327" s="5" t="n"/>
      <c r="D327" s="7" t="n"/>
      <c r="E327" s="8">
        <f>IF(C327="","",IFERROR(VLOOKUP(C327,Ciclos!$A$5:$B$29,2,FALSE),""))</f>
        <v/>
      </c>
      <c r="F327" s="9">
        <f>IF(OR(D327="",E327=""),"",D327+E327)</f>
        <v/>
      </c>
      <c r="G327" s="10">
        <f>IF(F327="","",TODAY()-F327)</f>
        <v/>
      </c>
      <c r="H327" s="11">
        <f>IF(F327="","",IF(G327&lt;0,"Em dia",IF(G327&lt;=15,"Chamar agora",IF(G327&lt;=60,"Sumida","Reativar"))))</f>
        <v/>
      </c>
      <c r="I327" s="12" t="n"/>
      <c r="J327" s="8">
        <f>IF(I327="","",MONTH(I327))</f>
        <v/>
      </c>
      <c r="K327" s="5" t="n"/>
    </row>
    <row r="328">
      <c r="A328" s="5" t="n"/>
      <c r="B328" s="5" t="n"/>
      <c r="C328" s="5" t="n"/>
      <c r="D328" s="7" t="n"/>
      <c r="E328" s="8">
        <f>IF(C328="","",IFERROR(VLOOKUP(C328,Ciclos!$A$5:$B$29,2,FALSE),""))</f>
        <v/>
      </c>
      <c r="F328" s="9">
        <f>IF(OR(D328="",E328=""),"",D328+E328)</f>
        <v/>
      </c>
      <c r="G328" s="10">
        <f>IF(F328="","",TODAY()-F328)</f>
        <v/>
      </c>
      <c r="H328" s="11">
        <f>IF(F328="","",IF(G328&lt;0,"Em dia",IF(G328&lt;=15,"Chamar agora",IF(G328&lt;=60,"Sumida","Reativar"))))</f>
        <v/>
      </c>
      <c r="I328" s="12" t="n"/>
      <c r="J328" s="8">
        <f>IF(I328="","",MONTH(I328))</f>
        <v/>
      </c>
      <c r="K328" s="5" t="n"/>
    </row>
    <row r="329">
      <c r="A329" s="5" t="n"/>
      <c r="B329" s="5" t="n"/>
      <c r="C329" s="5" t="n"/>
      <c r="D329" s="7" t="n"/>
      <c r="E329" s="8">
        <f>IF(C329="","",IFERROR(VLOOKUP(C329,Ciclos!$A$5:$B$29,2,FALSE),""))</f>
        <v/>
      </c>
      <c r="F329" s="9">
        <f>IF(OR(D329="",E329=""),"",D329+E329)</f>
        <v/>
      </c>
      <c r="G329" s="10">
        <f>IF(F329="","",TODAY()-F329)</f>
        <v/>
      </c>
      <c r="H329" s="11">
        <f>IF(F329="","",IF(G329&lt;0,"Em dia",IF(G329&lt;=15,"Chamar agora",IF(G329&lt;=60,"Sumida","Reativar"))))</f>
        <v/>
      </c>
      <c r="I329" s="12" t="n"/>
      <c r="J329" s="8">
        <f>IF(I329="","",MONTH(I329))</f>
        <v/>
      </c>
      <c r="K329" s="5" t="n"/>
    </row>
    <row r="330">
      <c r="A330" s="5" t="n"/>
      <c r="B330" s="5" t="n"/>
      <c r="C330" s="5" t="n"/>
      <c r="D330" s="7" t="n"/>
      <c r="E330" s="8">
        <f>IF(C330="","",IFERROR(VLOOKUP(C330,Ciclos!$A$5:$B$29,2,FALSE),""))</f>
        <v/>
      </c>
      <c r="F330" s="9">
        <f>IF(OR(D330="",E330=""),"",D330+E330)</f>
        <v/>
      </c>
      <c r="G330" s="10">
        <f>IF(F330="","",TODAY()-F330)</f>
        <v/>
      </c>
      <c r="H330" s="11">
        <f>IF(F330="","",IF(G330&lt;0,"Em dia",IF(G330&lt;=15,"Chamar agora",IF(G330&lt;=60,"Sumida","Reativar"))))</f>
        <v/>
      </c>
      <c r="I330" s="12" t="n"/>
      <c r="J330" s="8">
        <f>IF(I330="","",MONTH(I330))</f>
        <v/>
      </c>
      <c r="K330" s="5" t="n"/>
    </row>
    <row r="331">
      <c r="A331" s="5" t="n"/>
      <c r="B331" s="5" t="n"/>
      <c r="C331" s="5" t="n"/>
      <c r="D331" s="7" t="n"/>
      <c r="E331" s="8">
        <f>IF(C331="","",IFERROR(VLOOKUP(C331,Ciclos!$A$5:$B$29,2,FALSE),""))</f>
        <v/>
      </c>
      <c r="F331" s="9">
        <f>IF(OR(D331="",E331=""),"",D331+E331)</f>
        <v/>
      </c>
      <c r="G331" s="10">
        <f>IF(F331="","",TODAY()-F331)</f>
        <v/>
      </c>
      <c r="H331" s="11">
        <f>IF(F331="","",IF(G331&lt;0,"Em dia",IF(G331&lt;=15,"Chamar agora",IF(G331&lt;=60,"Sumida","Reativar"))))</f>
        <v/>
      </c>
      <c r="I331" s="12" t="n"/>
      <c r="J331" s="8">
        <f>IF(I331="","",MONTH(I331))</f>
        <v/>
      </c>
      <c r="K331" s="5" t="n"/>
    </row>
    <row r="332">
      <c r="A332" s="5" t="n"/>
      <c r="B332" s="5" t="n"/>
      <c r="C332" s="5" t="n"/>
      <c r="D332" s="7" t="n"/>
      <c r="E332" s="8">
        <f>IF(C332="","",IFERROR(VLOOKUP(C332,Ciclos!$A$5:$B$29,2,FALSE),""))</f>
        <v/>
      </c>
      <c r="F332" s="9">
        <f>IF(OR(D332="",E332=""),"",D332+E332)</f>
        <v/>
      </c>
      <c r="G332" s="10">
        <f>IF(F332="","",TODAY()-F332)</f>
        <v/>
      </c>
      <c r="H332" s="11">
        <f>IF(F332="","",IF(G332&lt;0,"Em dia",IF(G332&lt;=15,"Chamar agora",IF(G332&lt;=60,"Sumida","Reativar"))))</f>
        <v/>
      </c>
      <c r="I332" s="12" t="n"/>
      <c r="J332" s="8">
        <f>IF(I332="","",MONTH(I332))</f>
        <v/>
      </c>
      <c r="K332" s="5" t="n"/>
    </row>
    <row r="333">
      <c r="A333" s="5" t="n"/>
      <c r="B333" s="5" t="n"/>
      <c r="C333" s="5" t="n"/>
      <c r="D333" s="7" t="n"/>
      <c r="E333" s="8">
        <f>IF(C333="","",IFERROR(VLOOKUP(C333,Ciclos!$A$5:$B$29,2,FALSE),""))</f>
        <v/>
      </c>
      <c r="F333" s="9">
        <f>IF(OR(D333="",E333=""),"",D333+E333)</f>
        <v/>
      </c>
      <c r="G333" s="10">
        <f>IF(F333="","",TODAY()-F333)</f>
        <v/>
      </c>
      <c r="H333" s="11">
        <f>IF(F333="","",IF(G333&lt;0,"Em dia",IF(G333&lt;=15,"Chamar agora",IF(G333&lt;=60,"Sumida","Reativar"))))</f>
        <v/>
      </c>
      <c r="I333" s="12" t="n"/>
      <c r="J333" s="8">
        <f>IF(I333="","",MONTH(I333))</f>
        <v/>
      </c>
      <c r="K333" s="5" t="n"/>
    </row>
    <row r="334">
      <c r="A334" s="5" t="n"/>
      <c r="B334" s="5" t="n"/>
      <c r="C334" s="5" t="n"/>
      <c r="D334" s="7" t="n"/>
      <c r="E334" s="8">
        <f>IF(C334="","",IFERROR(VLOOKUP(C334,Ciclos!$A$5:$B$29,2,FALSE),""))</f>
        <v/>
      </c>
      <c r="F334" s="9">
        <f>IF(OR(D334="",E334=""),"",D334+E334)</f>
        <v/>
      </c>
      <c r="G334" s="10">
        <f>IF(F334="","",TODAY()-F334)</f>
        <v/>
      </c>
      <c r="H334" s="11">
        <f>IF(F334="","",IF(G334&lt;0,"Em dia",IF(G334&lt;=15,"Chamar agora",IF(G334&lt;=60,"Sumida","Reativar"))))</f>
        <v/>
      </c>
      <c r="I334" s="12" t="n"/>
      <c r="J334" s="8">
        <f>IF(I334="","",MONTH(I334))</f>
        <v/>
      </c>
      <c r="K334" s="5" t="n"/>
    </row>
    <row r="335">
      <c r="A335" s="5" t="n"/>
      <c r="B335" s="5" t="n"/>
      <c r="C335" s="5" t="n"/>
      <c r="D335" s="7" t="n"/>
      <c r="E335" s="8">
        <f>IF(C335="","",IFERROR(VLOOKUP(C335,Ciclos!$A$5:$B$29,2,FALSE),""))</f>
        <v/>
      </c>
      <c r="F335" s="9">
        <f>IF(OR(D335="",E335=""),"",D335+E335)</f>
        <v/>
      </c>
      <c r="G335" s="10">
        <f>IF(F335="","",TODAY()-F335)</f>
        <v/>
      </c>
      <c r="H335" s="11">
        <f>IF(F335="","",IF(G335&lt;0,"Em dia",IF(G335&lt;=15,"Chamar agora",IF(G335&lt;=60,"Sumida","Reativar"))))</f>
        <v/>
      </c>
      <c r="I335" s="12" t="n"/>
      <c r="J335" s="8">
        <f>IF(I335="","",MONTH(I335))</f>
        <v/>
      </c>
      <c r="K335" s="5" t="n"/>
    </row>
    <row r="336">
      <c r="A336" s="5" t="n"/>
      <c r="B336" s="5" t="n"/>
      <c r="C336" s="5" t="n"/>
      <c r="D336" s="7" t="n"/>
      <c r="E336" s="8">
        <f>IF(C336="","",IFERROR(VLOOKUP(C336,Ciclos!$A$5:$B$29,2,FALSE),""))</f>
        <v/>
      </c>
      <c r="F336" s="9">
        <f>IF(OR(D336="",E336=""),"",D336+E336)</f>
        <v/>
      </c>
      <c r="G336" s="10">
        <f>IF(F336="","",TODAY()-F336)</f>
        <v/>
      </c>
      <c r="H336" s="11">
        <f>IF(F336="","",IF(G336&lt;0,"Em dia",IF(G336&lt;=15,"Chamar agora",IF(G336&lt;=60,"Sumida","Reativar"))))</f>
        <v/>
      </c>
      <c r="I336" s="12" t="n"/>
      <c r="J336" s="8">
        <f>IF(I336="","",MONTH(I336))</f>
        <v/>
      </c>
      <c r="K336" s="5" t="n"/>
    </row>
    <row r="337">
      <c r="A337" s="5" t="n"/>
      <c r="B337" s="5" t="n"/>
      <c r="C337" s="5" t="n"/>
      <c r="D337" s="7" t="n"/>
      <c r="E337" s="8">
        <f>IF(C337="","",IFERROR(VLOOKUP(C337,Ciclos!$A$5:$B$29,2,FALSE),""))</f>
        <v/>
      </c>
      <c r="F337" s="9">
        <f>IF(OR(D337="",E337=""),"",D337+E337)</f>
        <v/>
      </c>
      <c r="G337" s="10">
        <f>IF(F337="","",TODAY()-F337)</f>
        <v/>
      </c>
      <c r="H337" s="11">
        <f>IF(F337="","",IF(G337&lt;0,"Em dia",IF(G337&lt;=15,"Chamar agora",IF(G337&lt;=60,"Sumida","Reativar"))))</f>
        <v/>
      </c>
      <c r="I337" s="12" t="n"/>
      <c r="J337" s="8">
        <f>IF(I337="","",MONTH(I337))</f>
        <v/>
      </c>
      <c r="K337" s="5" t="n"/>
    </row>
    <row r="338">
      <c r="A338" s="5" t="n"/>
      <c r="B338" s="5" t="n"/>
      <c r="C338" s="5" t="n"/>
      <c r="D338" s="7" t="n"/>
      <c r="E338" s="8">
        <f>IF(C338="","",IFERROR(VLOOKUP(C338,Ciclos!$A$5:$B$29,2,FALSE),""))</f>
        <v/>
      </c>
      <c r="F338" s="9">
        <f>IF(OR(D338="",E338=""),"",D338+E338)</f>
        <v/>
      </c>
      <c r="G338" s="10">
        <f>IF(F338="","",TODAY()-F338)</f>
        <v/>
      </c>
      <c r="H338" s="11">
        <f>IF(F338="","",IF(G338&lt;0,"Em dia",IF(G338&lt;=15,"Chamar agora",IF(G338&lt;=60,"Sumida","Reativar"))))</f>
        <v/>
      </c>
      <c r="I338" s="12" t="n"/>
      <c r="J338" s="8">
        <f>IF(I338="","",MONTH(I338))</f>
        <v/>
      </c>
      <c r="K338" s="5" t="n"/>
    </row>
    <row r="339">
      <c r="A339" s="5" t="n"/>
      <c r="B339" s="5" t="n"/>
      <c r="C339" s="5" t="n"/>
      <c r="D339" s="7" t="n"/>
      <c r="E339" s="8">
        <f>IF(C339="","",IFERROR(VLOOKUP(C339,Ciclos!$A$5:$B$29,2,FALSE),""))</f>
        <v/>
      </c>
      <c r="F339" s="9">
        <f>IF(OR(D339="",E339=""),"",D339+E339)</f>
        <v/>
      </c>
      <c r="G339" s="10">
        <f>IF(F339="","",TODAY()-F339)</f>
        <v/>
      </c>
      <c r="H339" s="11">
        <f>IF(F339="","",IF(G339&lt;0,"Em dia",IF(G339&lt;=15,"Chamar agora",IF(G339&lt;=60,"Sumida","Reativar"))))</f>
        <v/>
      </c>
      <c r="I339" s="12" t="n"/>
      <c r="J339" s="8">
        <f>IF(I339="","",MONTH(I339))</f>
        <v/>
      </c>
      <c r="K339" s="5" t="n"/>
    </row>
    <row r="340">
      <c r="A340" s="5" t="n"/>
      <c r="B340" s="5" t="n"/>
      <c r="C340" s="5" t="n"/>
      <c r="D340" s="7" t="n"/>
      <c r="E340" s="8">
        <f>IF(C340="","",IFERROR(VLOOKUP(C340,Ciclos!$A$5:$B$29,2,FALSE),""))</f>
        <v/>
      </c>
      <c r="F340" s="9">
        <f>IF(OR(D340="",E340=""),"",D340+E340)</f>
        <v/>
      </c>
      <c r="G340" s="10">
        <f>IF(F340="","",TODAY()-F340)</f>
        <v/>
      </c>
      <c r="H340" s="11">
        <f>IF(F340="","",IF(G340&lt;0,"Em dia",IF(G340&lt;=15,"Chamar agora",IF(G340&lt;=60,"Sumida","Reativar"))))</f>
        <v/>
      </c>
      <c r="I340" s="12" t="n"/>
      <c r="J340" s="8">
        <f>IF(I340="","",MONTH(I340))</f>
        <v/>
      </c>
      <c r="K340" s="5" t="n"/>
    </row>
    <row r="341">
      <c r="A341" s="5" t="n"/>
      <c r="B341" s="5" t="n"/>
      <c r="C341" s="5" t="n"/>
      <c r="D341" s="7" t="n"/>
      <c r="E341" s="8">
        <f>IF(C341="","",IFERROR(VLOOKUP(C341,Ciclos!$A$5:$B$29,2,FALSE),""))</f>
        <v/>
      </c>
      <c r="F341" s="9">
        <f>IF(OR(D341="",E341=""),"",D341+E341)</f>
        <v/>
      </c>
      <c r="G341" s="10">
        <f>IF(F341="","",TODAY()-F341)</f>
        <v/>
      </c>
      <c r="H341" s="11">
        <f>IF(F341="","",IF(G341&lt;0,"Em dia",IF(G341&lt;=15,"Chamar agora",IF(G341&lt;=60,"Sumida","Reativar"))))</f>
        <v/>
      </c>
      <c r="I341" s="12" t="n"/>
      <c r="J341" s="8">
        <f>IF(I341="","",MONTH(I341))</f>
        <v/>
      </c>
      <c r="K341" s="5" t="n"/>
    </row>
    <row r="342">
      <c r="A342" s="5" t="n"/>
      <c r="B342" s="5" t="n"/>
      <c r="C342" s="5" t="n"/>
      <c r="D342" s="7" t="n"/>
      <c r="E342" s="8">
        <f>IF(C342="","",IFERROR(VLOOKUP(C342,Ciclos!$A$5:$B$29,2,FALSE),""))</f>
        <v/>
      </c>
      <c r="F342" s="9">
        <f>IF(OR(D342="",E342=""),"",D342+E342)</f>
        <v/>
      </c>
      <c r="G342" s="10">
        <f>IF(F342="","",TODAY()-F342)</f>
        <v/>
      </c>
      <c r="H342" s="11">
        <f>IF(F342="","",IF(G342&lt;0,"Em dia",IF(G342&lt;=15,"Chamar agora",IF(G342&lt;=60,"Sumida","Reativar"))))</f>
        <v/>
      </c>
      <c r="I342" s="12" t="n"/>
      <c r="J342" s="8">
        <f>IF(I342="","",MONTH(I342))</f>
        <v/>
      </c>
      <c r="K342" s="5" t="n"/>
    </row>
    <row r="343">
      <c r="A343" s="5" t="n"/>
      <c r="B343" s="5" t="n"/>
      <c r="C343" s="5" t="n"/>
      <c r="D343" s="7" t="n"/>
      <c r="E343" s="8">
        <f>IF(C343="","",IFERROR(VLOOKUP(C343,Ciclos!$A$5:$B$29,2,FALSE),""))</f>
        <v/>
      </c>
      <c r="F343" s="9">
        <f>IF(OR(D343="",E343=""),"",D343+E343)</f>
        <v/>
      </c>
      <c r="G343" s="10">
        <f>IF(F343="","",TODAY()-F343)</f>
        <v/>
      </c>
      <c r="H343" s="11">
        <f>IF(F343="","",IF(G343&lt;0,"Em dia",IF(G343&lt;=15,"Chamar agora",IF(G343&lt;=60,"Sumida","Reativar"))))</f>
        <v/>
      </c>
      <c r="I343" s="12" t="n"/>
      <c r="J343" s="8">
        <f>IF(I343="","",MONTH(I343))</f>
        <v/>
      </c>
      <c r="K343" s="5" t="n"/>
    </row>
    <row r="344">
      <c r="A344" s="5" t="n"/>
      <c r="B344" s="5" t="n"/>
      <c r="C344" s="5" t="n"/>
      <c r="D344" s="7" t="n"/>
      <c r="E344" s="8">
        <f>IF(C344="","",IFERROR(VLOOKUP(C344,Ciclos!$A$5:$B$29,2,FALSE),""))</f>
        <v/>
      </c>
      <c r="F344" s="9">
        <f>IF(OR(D344="",E344=""),"",D344+E344)</f>
        <v/>
      </c>
      <c r="G344" s="10">
        <f>IF(F344="","",TODAY()-F344)</f>
        <v/>
      </c>
      <c r="H344" s="11">
        <f>IF(F344="","",IF(G344&lt;0,"Em dia",IF(G344&lt;=15,"Chamar agora",IF(G344&lt;=60,"Sumida","Reativar"))))</f>
        <v/>
      </c>
      <c r="I344" s="12" t="n"/>
      <c r="J344" s="8">
        <f>IF(I344="","",MONTH(I344))</f>
        <v/>
      </c>
      <c r="K344" s="5" t="n"/>
    </row>
    <row r="345">
      <c r="A345" s="5" t="n"/>
      <c r="B345" s="5" t="n"/>
      <c r="C345" s="5" t="n"/>
      <c r="D345" s="7" t="n"/>
      <c r="E345" s="8">
        <f>IF(C345="","",IFERROR(VLOOKUP(C345,Ciclos!$A$5:$B$29,2,FALSE),""))</f>
        <v/>
      </c>
      <c r="F345" s="9">
        <f>IF(OR(D345="",E345=""),"",D345+E345)</f>
        <v/>
      </c>
      <c r="G345" s="10">
        <f>IF(F345="","",TODAY()-F345)</f>
        <v/>
      </c>
      <c r="H345" s="11">
        <f>IF(F345="","",IF(G345&lt;0,"Em dia",IF(G345&lt;=15,"Chamar agora",IF(G345&lt;=60,"Sumida","Reativar"))))</f>
        <v/>
      </c>
      <c r="I345" s="12" t="n"/>
      <c r="J345" s="8">
        <f>IF(I345="","",MONTH(I345))</f>
        <v/>
      </c>
      <c r="K345" s="5" t="n"/>
    </row>
    <row r="346">
      <c r="A346" s="5" t="n"/>
      <c r="B346" s="5" t="n"/>
      <c r="C346" s="5" t="n"/>
      <c r="D346" s="7" t="n"/>
      <c r="E346" s="8">
        <f>IF(C346="","",IFERROR(VLOOKUP(C346,Ciclos!$A$5:$B$29,2,FALSE),""))</f>
        <v/>
      </c>
      <c r="F346" s="9">
        <f>IF(OR(D346="",E346=""),"",D346+E346)</f>
        <v/>
      </c>
      <c r="G346" s="10">
        <f>IF(F346="","",TODAY()-F346)</f>
        <v/>
      </c>
      <c r="H346" s="11">
        <f>IF(F346="","",IF(G346&lt;0,"Em dia",IF(G346&lt;=15,"Chamar agora",IF(G346&lt;=60,"Sumida","Reativar"))))</f>
        <v/>
      </c>
      <c r="I346" s="12" t="n"/>
      <c r="J346" s="8">
        <f>IF(I346="","",MONTH(I346))</f>
        <v/>
      </c>
      <c r="K346" s="5" t="n"/>
    </row>
    <row r="347">
      <c r="A347" s="5" t="n"/>
      <c r="B347" s="5" t="n"/>
      <c r="C347" s="5" t="n"/>
      <c r="D347" s="7" t="n"/>
      <c r="E347" s="8">
        <f>IF(C347="","",IFERROR(VLOOKUP(C347,Ciclos!$A$5:$B$29,2,FALSE),""))</f>
        <v/>
      </c>
      <c r="F347" s="9">
        <f>IF(OR(D347="",E347=""),"",D347+E347)</f>
        <v/>
      </c>
      <c r="G347" s="10">
        <f>IF(F347="","",TODAY()-F347)</f>
        <v/>
      </c>
      <c r="H347" s="11">
        <f>IF(F347="","",IF(G347&lt;0,"Em dia",IF(G347&lt;=15,"Chamar agora",IF(G347&lt;=60,"Sumida","Reativar"))))</f>
        <v/>
      </c>
      <c r="I347" s="12" t="n"/>
      <c r="J347" s="8">
        <f>IF(I347="","",MONTH(I347))</f>
        <v/>
      </c>
      <c r="K347" s="5" t="n"/>
    </row>
    <row r="348">
      <c r="A348" s="5" t="n"/>
      <c r="B348" s="5" t="n"/>
      <c r="C348" s="5" t="n"/>
      <c r="D348" s="7" t="n"/>
      <c r="E348" s="8">
        <f>IF(C348="","",IFERROR(VLOOKUP(C348,Ciclos!$A$5:$B$29,2,FALSE),""))</f>
        <v/>
      </c>
      <c r="F348" s="9">
        <f>IF(OR(D348="",E348=""),"",D348+E348)</f>
        <v/>
      </c>
      <c r="G348" s="10">
        <f>IF(F348="","",TODAY()-F348)</f>
        <v/>
      </c>
      <c r="H348" s="11">
        <f>IF(F348="","",IF(G348&lt;0,"Em dia",IF(G348&lt;=15,"Chamar agora",IF(G348&lt;=60,"Sumida","Reativar"))))</f>
        <v/>
      </c>
      <c r="I348" s="12" t="n"/>
      <c r="J348" s="8">
        <f>IF(I348="","",MONTH(I348))</f>
        <v/>
      </c>
      <c r="K348" s="5" t="n"/>
    </row>
    <row r="349">
      <c r="A349" s="5" t="n"/>
      <c r="B349" s="5" t="n"/>
      <c r="C349" s="5" t="n"/>
      <c r="D349" s="7" t="n"/>
      <c r="E349" s="8">
        <f>IF(C349="","",IFERROR(VLOOKUP(C349,Ciclos!$A$5:$B$29,2,FALSE),""))</f>
        <v/>
      </c>
      <c r="F349" s="9">
        <f>IF(OR(D349="",E349=""),"",D349+E349)</f>
        <v/>
      </c>
      <c r="G349" s="10">
        <f>IF(F349="","",TODAY()-F349)</f>
        <v/>
      </c>
      <c r="H349" s="11">
        <f>IF(F349="","",IF(G349&lt;0,"Em dia",IF(G349&lt;=15,"Chamar agora",IF(G349&lt;=60,"Sumida","Reativar"))))</f>
        <v/>
      </c>
      <c r="I349" s="12" t="n"/>
      <c r="J349" s="8">
        <f>IF(I349="","",MONTH(I349))</f>
        <v/>
      </c>
      <c r="K349" s="5" t="n"/>
    </row>
    <row r="350">
      <c r="A350" s="5" t="n"/>
      <c r="B350" s="5" t="n"/>
      <c r="C350" s="5" t="n"/>
      <c r="D350" s="7" t="n"/>
      <c r="E350" s="8">
        <f>IF(C350="","",IFERROR(VLOOKUP(C350,Ciclos!$A$5:$B$29,2,FALSE),""))</f>
        <v/>
      </c>
      <c r="F350" s="9">
        <f>IF(OR(D350="",E350=""),"",D350+E350)</f>
        <v/>
      </c>
      <c r="G350" s="10">
        <f>IF(F350="","",TODAY()-F350)</f>
        <v/>
      </c>
      <c r="H350" s="11">
        <f>IF(F350="","",IF(G350&lt;0,"Em dia",IF(G350&lt;=15,"Chamar agora",IF(G350&lt;=60,"Sumida","Reativar"))))</f>
        <v/>
      </c>
      <c r="I350" s="12" t="n"/>
      <c r="J350" s="8">
        <f>IF(I350="","",MONTH(I350))</f>
        <v/>
      </c>
      <c r="K350" s="5" t="n"/>
    </row>
    <row r="351">
      <c r="A351" s="5" t="n"/>
      <c r="B351" s="5" t="n"/>
      <c r="C351" s="5" t="n"/>
      <c r="D351" s="7" t="n"/>
      <c r="E351" s="8">
        <f>IF(C351="","",IFERROR(VLOOKUP(C351,Ciclos!$A$5:$B$29,2,FALSE),""))</f>
        <v/>
      </c>
      <c r="F351" s="9">
        <f>IF(OR(D351="",E351=""),"",D351+E351)</f>
        <v/>
      </c>
      <c r="G351" s="10">
        <f>IF(F351="","",TODAY()-F351)</f>
        <v/>
      </c>
      <c r="H351" s="11">
        <f>IF(F351="","",IF(G351&lt;0,"Em dia",IF(G351&lt;=15,"Chamar agora",IF(G351&lt;=60,"Sumida","Reativar"))))</f>
        <v/>
      </c>
      <c r="I351" s="12" t="n"/>
      <c r="J351" s="8">
        <f>IF(I351="","",MONTH(I351))</f>
        <v/>
      </c>
      <c r="K351" s="5" t="n"/>
    </row>
    <row r="352">
      <c r="A352" s="5" t="n"/>
      <c r="B352" s="5" t="n"/>
      <c r="C352" s="5" t="n"/>
      <c r="D352" s="7" t="n"/>
      <c r="E352" s="8">
        <f>IF(C352="","",IFERROR(VLOOKUP(C352,Ciclos!$A$5:$B$29,2,FALSE),""))</f>
        <v/>
      </c>
      <c r="F352" s="9">
        <f>IF(OR(D352="",E352=""),"",D352+E352)</f>
        <v/>
      </c>
      <c r="G352" s="10">
        <f>IF(F352="","",TODAY()-F352)</f>
        <v/>
      </c>
      <c r="H352" s="11">
        <f>IF(F352="","",IF(G352&lt;0,"Em dia",IF(G352&lt;=15,"Chamar agora",IF(G352&lt;=60,"Sumida","Reativar"))))</f>
        <v/>
      </c>
      <c r="I352" s="12" t="n"/>
      <c r="J352" s="8">
        <f>IF(I352="","",MONTH(I352))</f>
        <v/>
      </c>
      <c r="K352" s="5" t="n"/>
    </row>
    <row r="353">
      <c r="A353" s="5" t="n"/>
      <c r="B353" s="5" t="n"/>
      <c r="C353" s="5" t="n"/>
      <c r="D353" s="7" t="n"/>
      <c r="E353" s="8">
        <f>IF(C353="","",IFERROR(VLOOKUP(C353,Ciclos!$A$5:$B$29,2,FALSE),""))</f>
        <v/>
      </c>
      <c r="F353" s="9">
        <f>IF(OR(D353="",E353=""),"",D353+E353)</f>
        <v/>
      </c>
      <c r="G353" s="10">
        <f>IF(F353="","",TODAY()-F353)</f>
        <v/>
      </c>
      <c r="H353" s="11">
        <f>IF(F353="","",IF(G353&lt;0,"Em dia",IF(G353&lt;=15,"Chamar agora",IF(G353&lt;=60,"Sumida","Reativar"))))</f>
        <v/>
      </c>
      <c r="I353" s="12" t="n"/>
      <c r="J353" s="8">
        <f>IF(I353="","",MONTH(I353))</f>
        <v/>
      </c>
      <c r="K353" s="5" t="n"/>
    </row>
    <row r="354">
      <c r="A354" s="5" t="n"/>
      <c r="B354" s="5" t="n"/>
      <c r="C354" s="5" t="n"/>
      <c r="D354" s="7" t="n"/>
      <c r="E354" s="8">
        <f>IF(C354="","",IFERROR(VLOOKUP(C354,Ciclos!$A$5:$B$29,2,FALSE),""))</f>
        <v/>
      </c>
      <c r="F354" s="9">
        <f>IF(OR(D354="",E354=""),"",D354+E354)</f>
        <v/>
      </c>
      <c r="G354" s="10">
        <f>IF(F354="","",TODAY()-F354)</f>
        <v/>
      </c>
      <c r="H354" s="11">
        <f>IF(F354="","",IF(G354&lt;0,"Em dia",IF(G354&lt;=15,"Chamar agora",IF(G354&lt;=60,"Sumida","Reativar"))))</f>
        <v/>
      </c>
      <c r="I354" s="12" t="n"/>
      <c r="J354" s="8">
        <f>IF(I354="","",MONTH(I354))</f>
        <v/>
      </c>
      <c r="K354" s="5" t="n"/>
    </row>
    <row r="355">
      <c r="A355" s="5" t="n"/>
      <c r="B355" s="5" t="n"/>
      <c r="C355" s="5" t="n"/>
      <c r="D355" s="7" t="n"/>
      <c r="E355" s="8">
        <f>IF(C355="","",IFERROR(VLOOKUP(C355,Ciclos!$A$5:$B$29,2,FALSE),""))</f>
        <v/>
      </c>
      <c r="F355" s="9">
        <f>IF(OR(D355="",E355=""),"",D355+E355)</f>
        <v/>
      </c>
      <c r="G355" s="10">
        <f>IF(F355="","",TODAY()-F355)</f>
        <v/>
      </c>
      <c r="H355" s="11">
        <f>IF(F355="","",IF(G355&lt;0,"Em dia",IF(G355&lt;=15,"Chamar agora",IF(G355&lt;=60,"Sumida","Reativar"))))</f>
        <v/>
      </c>
      <c r="I355" s="12" t="n"/>
      <c r="J355" s="8">
        <f>IF(I355="","",MONTH(I355))</f>
        <v/>
      </c>
      <c r="K355" s="5" t="n"/>
    </row>
    <row r="356">
      <c r="A356" s="5" t="n"/>
      <c r="B356" s="5" t="n"/>
      <c r="C356" s="5" t="n"/>
      <c r="D356" s="7" t="n"/>
      <c r="E356" s="8">
        <f>IF(C356="","",IFERROR(VLOOKUP(C356,Ciclos!$A$5:$B$29,2,FALSE),""))</f>
        <v/>
      </c>
      <c r="F356" s="9">
        <f>IF(OR(D356="",E356=""),"",D356+E356)</f>
        <v/>
      </c>
      <c r="G356" s="10">
        <f>IF(F356="","",TODAY()-F356)</f>
        <v/>
      </c>
      <c r="H356" s="11">
        <f>IF(F356="","",IF(G356&lt;0,"Em dia",IF(G356&lt;=15,"Chamar agora",IF(G356&lt;=60,"Sumida","Reativar"))))</f>
        <v/>
      </c>
      <c r="I356" s="12" t="n"/>
      <c r="J356" s="8">
        <f>IF(I356="","",MONTH(I356))</f>
        <v/>
      </c>
      <c r="K356" s="5" t="n"/>
    </row>
    <row r="357">
      <c r="A357" s="5" t="n"/>
      <c r="B357" s="5" t="n"/>
      <c r="C357" s="5" t="n"/>
      <c r="D357" s="7" t="n"/>
      <c r="E357" s="8">
        <f>IF(C357="","",IFERROR(VLOOKUP(C357,Ciclos!$A$5:$B$29,2,FALSE),""))</f>
        <v/>
      </c>
      <c r="F357" s="9">
        <f>IF(OR(D357="",E357=""),"",D357+E357)</f>
        <v/>
      </c>
      <c r="G357" s="10">
        <f>IF(F357="","",TODAY()-F357)</f>
        <v/>
      </c>
      <c r="H357" s="11">
        <f>IF(F357="","",IF(G357&lt;0,"Em dia",IF(G357&lt;=15,"Chamar agora",IF(G357&lt;=60,"Sumida","Reativar"))))</f>
        <v/>
      </c>
      <c r="I357" s="12" t="n"/>
      <c r="J357" s="8">
        <f>IF(I357="","",MONTH(I357))</f>
        <v/>
      </c>
      <c r="K357" s="5" t="n"/>
    </row>
    <row r="358">
      <c r="A358" s="5" t="n"/>
      <c r="B358" s="5" t="n"/>
      <c r="C358" s="5" t="n"/>
      <c r="D358" s="7" t="n"/>
      <c r="E358" s="8">
        <f>IF(C358="","",IFERROR(VLOOKUP(C358,Ciclos!$A$5:$B$29,2,FALSE),""))</f>
        <v/>
      </c>
      <c r="F358" s="9">
        <f>IF(OR(D358="",E358=""),"",D358+E358)</f>
        <v/>
      </c>
      <c r="G358" s="10">
        <f>IF(F358="","",TODAY()-F358)</f>
        <v/>
      </c>
      <c r="H358" s="11">
        <f>IF(F358="","",IF(G358&lt;0,"Em dia",IF(G358&lt;=15,"Chamar agora",IF(G358&lt;=60,"Sumida","Reativar"))))</f>
        <v/>
      </c>
      <c r="I358" s="12" t="n"/>
      <c r="J358" s="8">
        <f>IF(I358="","",MONTH(I358))</f>
        <v/>
      </c>
      <c r="K358" s="5" t="n"/>
    </row>
    <row r="359">
      <c r="A359" s="5" t="n"/>
      <c r="B359" s="5" t="n"/>
      <c r="C359" s="5" t="n"/>
      <c r="D359" s="7" t="n"/>
      <c r="E359" s="8">
        <f>IF(C359="","",IFERROR(VLOOKUP(C359,Ciclos!$A$5:$B$29,2,FALSE),""))</f>
        <v/>
      </c>
      <c r="F359" s="9">
        <f>IF(OR(D359="",E359=""),"",D359+E359)</f>
        <v/>
      </c>
      <c r="G359" s="10">
        <f>IF(F359="","",TODAY()-F359)</f>
        <v/>
      </c>
      <c r="H359" s="11">
        <f>IF(F359="","",IF(G359&lt;0,"Em dia",IF(G359&lt;=15,"Chamar agora",IF(G359&lt;=60,"Sumida","Reativar"))))</f>
        <v/>
      </c>
      <c r="I359" s="12" t="n"/>
      <c r="J359" s="8">
        <f>IF(I359="","",MONTH(I359))</f>
        <v/>
      </c>
      <c r="K359" s="5" t="n"/>
    </row>
    <row r="360">
      <c r="A360" s="5" t="n"/>
      <c r="B360" s="5" t="n"/>
      <c r="C360" s="5" t="n"/>
      <c r="D360" s="7" t="n"/>
      <c r="E360" s="8">
        <f>IF(C360="","",IFERROR(VLOOKUP(C360,Ciclos!$A$5:$B$29,2,FALSE),""))</f>
        <v/>
      </c>
      <c r="F360" s="9">
        <f>IF(OR(D360="",E360=""),"",D360+E360)</f>
        <v/>
      </c>
      <c r="G360" s="10">
        <f>IF(F360="","",TODAY()-F360)</f>
        <v/>
      </c>
      <c r="H360" s="11">
        <f>IF(F360="","",IF(G360&lt;0,"Em dia",IF(G360&lt;=15,"Chamar agora",IF(G360&lt;=60,"Sumida","Reativar"))))</f>
        <v/>
      </c>
      <c r="I360" s="12" t="n"/>
      <c r="J360" s="8">
        <f>IF(I360="","",MONTH(I360))</f>
        <v/>
      </c>
      <c r="K360" s="5" t="n"/>
    </row>
    <row r="361">
      <c r="A361" s="5" t="n"/>
      <c r="B361" s="5" t="n"/>
      <c r="C361" s="5" t="n"/>
      <c r="D361" s="7" t="n"/>
      <c r="E361" s="8">
        <f>IF(C361="","",IFERROR(VLOOKUP(C361,Ciclos!$A$5:$B$29,2,FALSE),""))</f>
        <v/>
      </c>
      <c r="F361" s="9">
        <f>IF(OR(D361="",E361=""),"",D361+E361)</f>
        <v/>
      </c>
      <c r="G361" s="10">
        <f>IF(F361="","",TODAY()-F361)</f>
        <v/>
      </c>
      <c r="H361" s="11">
        <f>IF(F361="","",IF(G361&lt;0,"Em dia",IF(G361&lt;=15,"Chamar agora",IF(G361&lt;=60,"Sumida","Reativar"))))</f>
        <v/>
      </c>
      <c r="I361" s="12" t="n"/>
      <c r="J361" s="8">
        <f>IF(I361="","",MONTH(I361))</f>
        <v/>
      </c>
      <c r="K361" s="5" t="n"/>
    </row>
    <row r="362">
      <c r="A362" s="5" t="n"/>
      <c r="B362" s="5" t="n"/>
      <c r="C362" s="5" t="n"/>
      <c r="D362" s="7" t="n"/>
      <c r="E362" s="8">
        <f>IF(C362="","",IFERROR(VLOOKUP(C362,Ciclos!$A$5:$B$29,2,FALSE),""))</f>
        <v/>
      </c>
      <c r="F362" s="9">
        <f>IF(OR(D362="",E362=""),"",D362+E362)</f>
        <v/>
      </c>
      <c r="G362" s="10">
        <f>IF(F362="","",TODAY()-F362)</f>
        <v/>
      </c>
      <c r="H362" s="11">
        <f>IF(F362="","",IF(G362&lt;0,"Em dia",IF(G362&lt;=15,"Chamar agora",IF(G362&lt;=60,"Sumida","Reativar"))))</f>
        <v/>
      </c>
      <c r="I362" s="12" t="n"/>
      <c r="J362" s="8">
        <f>IF(I362="","",MONTH(I362))</f>
        <v/>
      </c>
      <c r="K362" s="5" t="n"/>
    </row>
    <row r="363">
      <c r="A363" s="5" t="n"/>
      <c r="B363" s="5" t="n"/>
      <c r="C363" s="5" t="n"/>
      <c r="D363" s="7" t="n"/>
      <c r="E363" s="8">
        <f>IF(C363="","",IFERROR(VLOOKUP(C363,Ciclos!$A$5:$B$29,2,FALSE),""))</f>
        <v/>
      </c>
      <c r="F363" s="9">
        <f>IF(OR(D363="",E363=""),"",D363+E363)</f>
        <v/>
      </c>
      <c r="G363" s="10">
        <f>IF(F363="","",TODAY()-F363)</f>
        <v/>
      </c>
      <c r="H363" s="11">
        <f>IF(F363="","",IF(G363&lt;0,"Em dia",IF(G363&lt;=15,"Chamar agora",IF(G363&lt;=60,"Sumida","Reativar"))))</f>
        <v/>
      </c>
      <c r="I363" s="12" t="n"/>
      <c r="J363" s="8">
        <f>IF(I363="","",MONTH(I363))</f>
        <v/>
      </c>
      <c r="K363" s="5" t="n"/>
    </row>
    <row r="364">
      <c r="A364" s="5" t="n"/>
      <c r="B364" s="5" t="n"/>
      <c r="C364" s="5" t="n"/>
      <c r="D364" s="7" t="n"/>
      <c r="E364" s="8">
        <f>IF(C364="","",IFERROR(VLOOKUP(C364,Ciclos!$A$5:$B$29,2,FALSE),""))</f>
        <v/>
      </c>
      <c r="F364" s="9">
        <f>IF(OR(D364="",E364=""),"",D364+E364)</f>
        <v/>
      </c>
      <c r="G364" s="10">
        <f>IF(F364="","",TODAY()-F364)</f>
        <v/>
      </c>
      <c r="H364" s="11">
        <f>IF(F364="","",IF(G364&lt;0,"Em dia",IF(G364&lt;=15,"Chamar agora",IF(G364&lt;=60,"Sumida","Reativar"))))</f>
        <v/>
      </c>
      <c r="I364" s="12" t="n"/>
      <c r="J364" s="8">
        <f>IF(I364="","",MONTH(I364))</f>
        <v/>
      </c>
      <c r="K364" s="5" t="n"/>
    </row>
    <row r="365">
      <c r="A365" s="5" t="n"/>
      <c r="B365" s="5" t="n"/>
      <c r="C365" s="5" t="n"/>
      <c r="D365" s="7" t="n"/>
      <c r="E365" s="8">
        <f>IF(C365="","",IFERROR(VLOOKUP(C365,Ciclos!$A$5:$B$29,2,FALSE),""))</f>
        <v/>
      </c>
      <c r="F365" s="9">
        <f>IF(OR(D365="",E365=""),"",D365+E365)</f>
        <v/>
      </c>
      <c r="G365" s="10">
        <f>IF(F365="","",TODAY()-F365)</f>
        <v/>
      </c>
      <c r="H365" s="11">
        <f>IF(F365="","",IF(G365&lt;0,"Em dia",IF(G365&lt;=15,"Chamar agora",IF(G365&lt;=60,"Sumida","Reativar"))))</f>
        <v/>
      </c>
      <c r="I365" s="12" t="n"/>
      <c r="J365" s="8">
        <f>IF(I365="","",MONTH(I365))</f>
        <v/>
      </c>
      <c r="K365" s="5" t="n"/>
    </row>
    <row r="366">
      <c r="A366" s="5" t="n"/>
      <c r="B366" s="5" t="n"/>
      <c r="C366" s="5" t="n"/>
      <c r="D366" s="7" t="n"/>
      <c r="E366" s="8">
        <f>IF(C366="","",IFERROR(VLOOKUP(C366,Ciclos!$A$5:$B$29,2,FALSE),""))</f>
        <v/>
      </c>
      <c r="F366" s="9">
        <f>IF(OR(D366="",E366=""),"",D366+E366)</f>
        <v/>
      </c>
      <c r="G366" s="10">
        <f>IF(F366="","",TODAY()-F366)</f>
        <v/>
      </c>
      <c r="H366" s="11">
        <f>IF(F366="","",IF(G366&lt;0,"Em dia",IF(G366&lt;=15,"Chamar agora",IF(G366&lt;=60,"Sumida","Reativar"))))</f>
        <v/>
      </c>
      <c r="I366" s="12" t="n"/>
      <c r="J366" s="8">
        <f>IF(I366="","",MONTH(I366))</f>
        <v/>
      </c>
      <c r="K366" s="5" t="n"/>
    </row>
    <row r="367">
      <c r="A367" s="5" t="n"/>
      <c r="B367" s="5" t="n"/>
      <c r="C367" s="5" t="n"/>
      <c r="D367" s="7" t="n"/>
      <c r="E367" s="8">
        <f>IF(C367="","",IFERROR(VLOOKUP(C367,Ciclos!$A$5:$B$29,2,FALSE),""))</f>
        <v/>
      </c>
      <c r="F367" s="9">
        <f>IF(OR(D367="",E367=""),"",D367+E367)</f>
        <v/>
      </c>
      <c r="G367" s="10">
        <f>IF(F367="","",TODAY()-F367)</f>
        <v/>
      </c>
      <c r="H367" s="11">
        <f>IF(F367="","",IF(G367&lt;0,"Em dia",IF(G367&lt;=15,"Chamar agora",IF(G367&lt;=60,"Sumida","Reativar"))))</f>
        <v/>
      </c>
      <c r="I367" s="12" t="n"/>
      <c r="J367" s="8">
        <f>IF(I367="","",MONTH(I367))</f>
        <v/>
      </c>
      <c r="K367" s="5" t="n"/>
    </row>
    <row r="368">
      <c r="A368" s="5" t="n"/>
      <c r="B368" s="5" t="n"/>
      <c r="C368" s="5" t="n"/>
      <c r="D368" s="7" t="n"/>
      <c r="E368" s="8">
        <f>IF(C368="","",IFERROR(VLOOKUP(C368,Ciclos!$A$5:$B$29,2,FALSE),""))</f>
        <v/>
      </c>
      <c r="F368" s="9">
        <f>IF(OR(D368="",E368=""),"",D368+E368)</f>
        <v/>
      </c>
      <c r="G368" s="10">
        <f>IF(F368="","",TODAY()-F368)</f>
        <v/>
      </c>
      <c r="H368" s="11">
        <f>IF(F368="","",IF(G368&lt;0,"Em dia",IF(G368&lt;=15,"Chamar agora",IF(G368&lt;=60,"Sumida","Reativar"))))</f>
        <v/>
      </c>
      <c r="I368" s="12" t="n"/>
      <c r="J368" s="8">
        <f>IF(I368="","",MONTH(I368))</f>
        <v/>
      </c>
      <c r="K368" s="5" t="n"/>
    </row>
    <row r="369">
      <c r="A369" s="5" t="n"/>
      <c r="B369" s="5" t="n"/>
      <c r="C369" s="5" t="n"/>
      <c r="D369" s="7" t="n"/>
      <c r="E369" s="8">
        <f>IF(C369="","",IFERROR(VLOOKUP(C369,Ciclos!$A$5:$B$29,2,FALSE),""))</f>
        <v/>
      </c>
      <c r="F369" s="9">
        <f>IF(OR(D369="",E369=""),"",D369+E369)</f>
        <v/>
      </c>
      <c r="G369" s="10">
        <f>IF(F369="","",TODAY()-F369)</f>
        <v/>
      </c>
      <c r="H369" s="11">
        <f>IF(F369="","",IF(G369&lt;0,"Em dia",IF(G369&lt;=15,"Chamar agora",IF(G369&lt;=60,"Sumida","Reativar"))))</f>
        <v/>
      </c>
      <c r="I369" s="12" t="n"/>
      <c r="J369" s="8">
        <f>IF(I369="","",MONTH(I369))</f>
        <v/>
      </c>
      <c r="K369" s="5" t="n"/>
    </row>
    <row r="370">
      <c r="A370" s="5" t="n"/>
      <c r="B370" s="5" t="n"/>
      <c r="C370" s="5" t="n"/>
      <c r="D370" s="7" t="n"/>
      <c r="E370" s="8">
        <f>IF(C370="","",IFERROR(VLOOKUP(C370,Ciclos!$A$5:$B$29,2,FALSE),""))</f>
        <v/>
      </c>
      <c r="F370" s="9">
        <f>IF(OR(D370="",E370=""),"",D370+E370)</f>
        <v/>
      </c>
      <c r="G370" s="10">
        <f>IF(F370="","",TODAY()-F370)</f>
        <v/>
      </c>
      <c r="H370" s="11">
        <f>IF(F370="","",IF(G370&lt;0,"Em dia",IF(G370&lt;=15,"Chamar agora",IF(G370&lt;=60,"Sumida","Reativar"))))</f>
        <v/>
      </c>
      <c r="I370" s="12" t="n"/>
      <c r="J370" s="8">
        <f>IF(I370="","",MONTH(I370))</f>
        <v/>
      </c>
      <c r="K370" s="5" t="n"/>
    </row>
    <row r="371">
      <c r="A371" s="5" t="n"/>
      <c r="B371" s="5" t="n"/>
      <c r="C371" s="5" t="n"/>
      <c r="D371" s="7" t="n"/>
      <c r="E371" s="8">
        <f>IF(C371="","",IFERROR(VLOOKUP(C371,Ciclos!$A$5:$B$29,2,FALSE),""))</f>
        <v/>
      </c>
      <c r="F371" s="9">
        <f>IF(OR(D371="",E371=""),"",D371+E371)</f>
        <v/>
      </c>
      <c r="G371" s="10">
        <f>IF(F371="","",TODAY()-F371)</f>
        <v/>
      </c>
      <c r="H371" s="11">
        <f>IF(F371="","",IF(G371&lt;0,"Em dia",IF(G371&lt;=15,"Chamar agora",IF(G371&lt;=60,"Sumida","Reativar"))))</f>
        <v/>
      </c>
      <c r="I371" s="12" t="n"/>
      <c r="J371" s="8">
        <f>IF(I371="","",MONTH(I371))</f>
        <v/>
      </c>
      <c r="K371" s="5" t="n"/>
    </row>
    <row r="372">
      <c r="A372" s="5" t="n"/>
      <c r="B372" s="5" t="n"/>
      <c r="C372" s="5" t="n"/>
      <c r="D372" s="7" t="n"/>
      <c r="E372" s="8">
        <f>IF(C372="","",IFERROR(VLOOKUP(C372,Ciclos!$A$5:$B$29,2,FALSE),""))</f>
        <v/>
      </c>
      <c r="F372" s="9">
        <f>IF(OR(D372="",E372=""),"",D372+E372)</f>
        <v/>
      </c>
      <c r="G372" s="10">
        <f>IF(F372="","",TODAY()-F372)</f>
        <v/>
      </c>
      <c r="H372" s="11">
        <f>IF(F372="","",IF(G372&lt;0,"Em dia",IF(G372&lt;=15,"Chamar agora",IF(G372&lt;=60,"Sumida","Reativar"))))</f>
        <v/>
      </c>
      <c r="I372" s="12" t="n"/>
      <c r="J372" s="8">
        <f>IF(I372="","",MONTH(I372))</f>
        <v/>
      </c>
      <c r="K372" s="5" t="n"/>
    </row>
    <row r="373">
      <c r="A373" s="5" t="n"/>
      <c r="B373" s="5" t="n"/>
      <c r="C373" s="5" t="n"/>
      <c r="D373" s="7" t="n"/>
      <c r="E373" s="8">
        <f>IF(C373="","",IFERROR(VLOOKUP(C373,Ciclos!$A$5:$B$29,2,FALSE),""))</f>
        <v/>
      </c>
      <c r="F373" s="9">
        <f>IF(OR(D373="",E373=""),"",D373+E373)</f>
        <v/>
      </c>
      <c r="G373" s="10">
        <f>IF(F373="","",TODAY()-F373)</f>
        <v/>
      </c>
      <c r="H373" s="11">
        <f>IF(F373="","",IF(G373&lt;0,"Em dia",IF(G373&lt;=15,"Chamar agora",IF(G373&lt;=60,"Sumida","Reativar"))))</f>
        <v/>
      </c>
      <c r="I373" s="12" t="n"/>
      <c r="J373" s="8">
        <f>IF(I373="","",MONTH(I373))</f>
        <v/>
      </c>
      <c r="K373" s="5" t="n"/>
    </row>
    <row r="374">
      <c r="A374" s="5" t="n"/>
      <c r="B374" s="5" t="n"/>
      <c r="C374" s="5" t="n"/>
      <c r="D374" s="7" t="n"/>
      <c r="E374" s="8">
        <f>IF(C374="","",IFERROR(VLOOKUP(C374,Ciclos!$A$5:$B$29,2,FALSE),""))</f>
        <v/>
      </c>
      <c r="F374" s="9">
        <f>IF(OR(D374="",E374=""),"",D374+E374)</f>
        <v/>
      </c>
      <c r="G374" s="10">
        <f>IF(F374="","",TODAY()-F374)</f>
        <v/>
      </c>
      <c r="H374" s="11">
        <f>IF(F374="","",IF(G374&lt;0,"Em dia",IF(G374&lt;=15,"Chamar agora",IF(G374&lt;=60,"Sumida","Reativar"))))</f>
        <v/>
      </c>
      <c r="I374" s="12" t="n"/>
      <c r="J374" s="8">
        <f>IF(I374="","",MONTH(I374))</f>
        <v/>
      </c>
      <c r="K374" s="5" t="n"/>
    </row>
    <row r="375">
      <c r="A375" s="5" t="n"/>
      <c r="B375" s="5" t="n"/>
      <c r="C375" s="5" t="n"/>
      <c r="D375" s="7" t="n"/>
      <c r="E375" s="8">
        <f>IF(C375="","",IFERROR(VLOOKUP(C375,Ciclos!$A$5:$B$29,2,FALSE),""))</f>
        <v/>
      </c>
      <c r="F375" s="9">
        <f>IF(OR(D375="",E375=""),"",D375+E375)</f>
        <v/>
      </c>
      <c r="G375" s="10">
        <f>IF(F375="","",TODAY()-F375)</f>
        <v/>
      </c>
      <c r="H375" s="11">
        <f>IF(F375="","",IF(G375&lt;0,"Em dia",IF(G375&lt;=15,"Chamar agora",IF(G375&lt;=60,"Sumida","Reativar"))))</f>
        <v/>
      </c>
      <c r="I375" s="12" t="n"/>
      <c r="J375" s="8">
        <f>IF(I375="","",MONTH(I375))</f>
        <v/>
      </c>
      <c r="K375" s="5" t="n"/>
    </row>
    <row r="376">
      <c r="A376" s="5" t="n"/>
      <c r="B376" s="5" t="n"/>
      <c r="C376" s="5" t="n"/>
      <c r="D376" s="7" t="n"/>
      <c r="E376" s="8">
        <f>IF(C376="","",IFERROR(VLOOKUP(C376,Ciclos!$A$5:$B$29,2,FALSE),""))</f>
        <v/>
      </c>
      <c r="F376" s="9">
        <f>IF(OR(D376="",E376=""),"",D376+E376)</f>
        <v/>
      </c>
      <c r="G376" s="10">
        <f>IF(F376="","",TODAY()-F376)</f>
        <v/>
      </c>
      <c r="H376" s="11">
        <f>IF(F376="","",IF(G376&lt;0,"Em dia",IF(G376&lt;=15,"Chamar agora",IF(G376&lt;=60,"Sumida","Reativar"))))</f>
        <v/>
      </c>
      <c r="I376" s="12" t="n"/>
      <c r="J376" s="8">
        <f>IF(I376="","",MONTH(I376))</f>
        <v/>
      </c>
      <c r="K376" s="5" t="n"/>
    </row>
    <row r="377">
      <c r="A377" s="5" t="n"/>
      <c r="B377" s="5" t="n"/>
      <c r="C377" s="5" t="n"/>
      <c r="D377" s="7" t="n"/>
      <c r="E377" s="8">
        <f>IF(C377="","",IFERROR(VLOOKUP(C377,Ciclos!$A$5:$B$29,2,FALSE),""))</f>
        <v/>
      </c>
      <c r="F377" s="9">
        <f>IF(OR(D377="",E377=""),"",D377+E377)</f>
        <v/>
      </c>
      <c r="G377" s="10">
        <f>IF(F377="","",TODAY()-F377)</f>
        <v/>
      </c>
      <c r="H377" s="11">
        <f>IF(F377="","",IF(G377&lt;0,"Em dia",IF(G377&lt;=15,"Chamar agora",IF(G377&lt;=60,"Sumida","Reativar"))))</f>
        <v/>
      </c>
      <c r="I377" s="12" t="n"/>
      <c r="J377" s="8">
        <f>IF(I377="","",MONTH(I377))</f>
        <v/>
      </c>
      <c r="K377" s="5" t="n"/>
    </row>
    <row r="378">
      <c r="A378" s="5" t="n"/>
      <c r="B378" s="5" t="n"/>
      <c r="C378" s="5" t="n"/>
      <c r="D378" s="7" t="n"/>
      <c r="E378" s="8">
        <f>IF(C378="","",IFERROR(VLOOKUP(C378,Ciclos!$A$5:$B$29,2,FALSE),""))</f>
        <v/>
      </c>
      <c r="F378" s="9">
        <f>IF(OR(D378="",E378=""),"",D378+E378)</f>
        <v/>
      </c>
      <c r="G378" s="10">
        <f>IF(F378="","",TODAY()-F378)</f>
        <v/>
      </c>
      <c r="H378" s="11">
        <f>IF(F378="","",IF(G378&lt;0,"Em dia",IF(G378&lt;=15,"Chamar agora",IF(G378&lt;=60,"Sumida","Reativar"))))</f>
        <v/>
      </c>
      <c r="I378" s="12" t="n"/>
      <c r="J378" s="8">
        <f>IF(I378="","",MONTH(I378))</f>
        <v/>
      </c>
      <c r="K378" s="5" t="n"/>
    </row>
    <row r="379">
      <c r="A379" s="5" t="n"/>
      <c r="B379" s="5" t="n"/>
      <c r="C379" s="5" t="n"/>
      <c r="D379" s="7" t="n"/>
      <c r="E379" s="8">
        <f>IF(C379="","",IFERROR(VLOOKUP(C379,Ciclos!$A$5:$B$29,2,FALSE),""))</f>
        <v/>
      </c>
      <c r="F379" s="9">
        <f>IF(OR(D379="",E379=""),"",D379+E379)</f>
        <v/>
      </c>
      <c r="G379" s="10">
        <f>IF(F379="","",TODAY()-F379)</f>
        <v/>
      </c>
      <c r="H379" s="11">
        <f>IF(F379="","",IF(G379&lt;0,"Em dia",IF(G379&lt;=15,"Chamar agora",IF(G379&lt;=60,"Sumida","Reativar"))))</f>
        <v/>
      </c>
      <c r="I379" s="12" t="n"/>
      <c r="J379" s="8">
        <f>IF(I379="","",MONTH(I379))</f>
        <v/>
      </c>
      <c r="K379" s="5" t="n"/>
    </row>
    <row r="380">
      <c r="A380" s="5" t="n"/>
      <c r="B380" s="5" t="n"/>
      <c r="C380" s="5" t="n"/>
      <c r="D380" s="7" t="n"/>
      <c r="E380" s="8">
        <f>IF(C380="","",IFERROR(VLOOKUP(C380,Ciclos!$A$5:$B$29,2,FALSE),""))</f>
        <v/>
      </c>
      <c r="F380" s="9">
        <f>IF(OR(D380="",E380=""),"",D380+E380)</f>
        <v/>
      </c>
      <c r="G380" s="10">
        <f>IF(F380="","",TODAY()-F380)</f>
        <v/>
      </c>
      <c r="H380" s="11">
        <f>IF(F380="","",IF(G380&lt;0,"Em dia",IF(G380&lt;=15,"Chamar agora",IF(G380&lt;=60,"Sumida","Reativar"))))</f>
        <v/>
      </c>
      <c r="I380" s="12" t="n"/>
      <c r="J380" s="8">
        <f>IF(I380="","",MONTH(I380))</f>
        <v/>
      </c>
      <c r="K380" s="5" t="n"/>
    </row>
    <row r="381">
      <c r="A381" s="5" t="n"/>
      <c r="B381" s="5" t="n"/>
      <c r="C381" s="5" t="n"/>
      <c r="D381" s="7" t="n"/>
      <c r="E381" s="8">
        <f>IF(C381="","",IFERROR(VLOOKUP(C381,Ciclos!$A$5:$B$29,2,FALSE),""))</f>
        <v/>
      </c>
      <c r="F381" s="9">
        <f>IF(OR(D381="",E381=""),"",D381+E381)</f>
        <v/>
      </c>
      <c r="G381" s="10">
        <f>IF(F381="","",TODAY()-F381)</f>
        <v/>
      </c>
      <c r="H381" s="11">
        <f>IF(F381="","",IF(G381&lt;0,"Em dia",IF(G381&lt;=15,"Chamar agora",IF(G381&lt;=60,"Sumida","Reativar"))))</f>
        <v/>
      </c>
      <c r="I381" s="12" t="n"/>
      <c r="J381" s="8">
        <f>IF(I381="","",MONTH(I381))</f>
        <v/>
      </c>
      <c r="K381" s="5" t="n"/>
    </row>
    <row r="382">
      <c r="A382" s="5" t="n"/>
      <c r="B382" s="5" t="n"/>
      <c r="C382" s="5" t="n"/>
      <c r="D382" s="7" t="n"/>
      <c r="E382" s="8">
        <f>IF(C382="","",IFERROR(VLOOKUP(C382,Ciclos!$A$5:$B$29,2,FALSE),""))</f>
        <v/>
      </c>
      <c r="F382" s="9">
        <f>IF(OR(D382="",E382=""),"",D382+E382)</f>
        <v/>
      </c>
      <c r="G382" s="10">
        <f>IF(F382="","",TODAY()-F382)</f>
        <v/>
      </c>
      <c r="H382" s="11">
        <f>IF(F382="","",IF(G382&lt;0,"Em dia",IF(G382&lt;=15,"Chamar agora",IF(G382&lt;=60,"Sumida","Reativar"))))</f>
        <v/>
      </c>
      <c r="I382" s="12" t="n"/>
      <c r="J382" s="8">
        <f>IF(I382="","",MONTH(I382))</f>
        <v/>
      </c>
      <c r="K382" s="5" t="n"/>
    </row>
    <row r="383">
      <c r="A383" s="5" t="n"/>
      <c r="B383" s="5" t="n"/>
      <c r="C383" s="5" t="n"/>
      <c r="D383" s="7" t="n"/>
      <c r="E383" s="8">
        <f>IF(C383="","",IFERROR(VLOOKUP(C383,Ciclos!$A$5:$B$29,2,FALSE),""))</f>
        <v/>
      </c>
      <c r="F383" s="9">
        <f>IF(OR(D383="",E383=""),"",D383+E383)</f>
        <v/>
      </c>
      <c r="G383" s="10">
        <f>IF(F383="","",TODAY()-F383)</f>
        <v/>
      </c>
      <c r="H383" s="11">
        <f>IF(F383="","",IF(G383&lt;0,"Em dia",IF(G383&lt;=15,"Chamar agora",IF(G383&lt;=60,"Sumida","Reativar"))))</f>
        <v/>
      </c>
      <c r="I383" s="12" t="n"/>
      <c r="J383" s="8">
        <f>IF(I383="","",MONTH(I383))</f>
        <v/>
      </c>
      <c r="K383" s="5" t="n"/>
    </row>
    <row r="384">
      <c r="A384" s="5" t="n"/>
      <c r="B384" s="5" t="n"/>
      <c r="C384" s="5" t="n"/>
      <c r="D384" s="7" t="n"/>
      <c r="E384" s="8">
        <f>IF(C384="","",IFERROR(VLOOKUP(C384,Ciclos!$A$5:$B$29,2,FALSE),""))</f>
        <v/>
      </c>
      <c r="F384" s="9">
        <f>IF(OR(D384="",E384=""),"",D384+E384)</f>
        <v/>
      </c>
      <c r="G384" s="10">
        <f>IF(F384="","",TODAY()-F384)</f>
        <v/>
      </c>
      <c r="H384" s="11">
        <f>IF(F384="","",IF(G384&lt;0,"Em dia",IF(G384&lt;=15,"Chamar agora",IF(G384&lt;=60,"Sumida","Reativar"))))</f>
        <v/>
      </c>
      <c r="I384" s="12" t="n"/>
      <c r="J384" s="8">
        <f>IF(I384="","",MONTH(I384))</f>
        <v/>
      </c>
      <c r="K384" s="5" t="n"/>
    </row>
    <row r="385">
      <c r="A385" s="5" t="n"/>
      <c r="B385" s="5" t="n"/>
      <c r="C385" s="5" t="n"/>
      <c r="D385" s="7" t="n"/>
      <c r="E385" s="8">
        <f>IF(C385="","",IFERROR(VLOOKUP(C385,Ciclos!$A$5:$B$29,2,FALSE),""))</f>
        <v/>
      </c>
      <c r="F385" s="9">
        <f>IF(OR(D385="",E385=""),"",D385+E385)</f>
        <v/>
      </c>
      <c r="G385" s="10">
        <f>IF(F385="","",TODAY()-F385)</f>
        <v/>
      </c>
      <c r="H385" s="11">
        <f>IF(F385="","",IF(G385&lt;0,"Em dia",IF(G385&lt;=15,"Chamar agora",IF(G385&lt;=60,"Sumida","Reativar"))))</f>
        <v/>
      </c>
      <c r="I385" s="12" t="n"/>
      <c r="J385" s="8">
        <f>IF(I385="","",MONTH(I385))</f>
        <v/>
      </c>
      <c r="K385" s="5" t="n"/>
    </row>
    <row r="386">
      <c r="A386" s="5" t="n"/>
      <c r="B386" s="5" t="n"/>
      <c r="C386" s="5" t="n"/>
      <c r="D386" s="7" t="n"/>
      <c r="E386" s="8">
        <f>IF(C386="","",IFERROR(VLOOKUP(C386,Ciclos!$A$5:$B$29,2,FALSE),""))</f>
        <v/>
      </c>
      <c r="F386" s="9">
        <f>IF(OR(D386="",E386=""),"",D386+E386)</f>
        <v/>
      </c>
      <c r="G386" s="10">
        <f>IF(F386="","",TODAY()-F386)</f>
        <v/>
      </c>
      <c r="H386" s="11">
        <f>IF(F386="","",IF(G386&lt;0,"Em dia",IF(G386&lt;=15,"Chamar agora",IF(G386&lt;=60,"Sumida","Reativar"))))</f>
        <v/>
      </c>
      <c r="I386" s="12" t="n"/>
      <c r="J386" s="8">
        <f>IF(I386="","",MONTH(I386))</f>
        <v/>
      </c>
      <c r="K386" s="5" t="n"/>
    </row>
    <row r="387">
      <c r="A387" s="5" t="n"/>
      <c r="B387" s="5" t="n"/>
      <c r="C387" s="5" t="n"/>
      <c r="D387" s="7" t="n"/>
      <c r="E387" s="8">
        <f>IF(C387="","",IFERROR(VLOOKUP(C387,Ciclos!$A$5:$B$29,2,FALSE),""))</f>
        <v/>
      </c>
      <c r="F387" s="9">
        <f>IF(OR(D387="",E387=""),"",D387+E387)</f>
        <v/>
      </c>
      <c r="G387" s="10">
        <f>IF(F387="","",TODAY()-F387)</f>
        <v/>
      </c>
      <c r="H387" s="11">
        <f>IF(F387="","",IF(G387&lt;0,"Em dia",IF(G387&lt;=15,"Chamar agora",IF(G387&lt;=60,"Sumida","Reativar"))))</f>
        <v/>
      </c>
      <c r="I387" s="12" t="n"/>
      <c r="J387" s="8">
        <f>IF(I387="","",MONTH(I387))</f>
        <v/>
      </c>
      <c r="K387" s="5" t="n"/>
    </row>
    <row r="388">
      <c r="A388" s="5" t="n"/>
      <c r="B388" s="5" t="n"/>
      <c r="C388" s="5" t="n"/>
      <c r="D388" s="7" t="n"/>
      <c r="E388" s="8">
        <f>IF(C388="","",IFERROR(VLOOKUP(C388,Ciclos!$A$5:$B$29,2,FALSE),""))</f>
        <v/>
      </c>
      <c r="F388" s="9">
        <f>IF(OR(D388="",E388=""),"",D388+E388)</f>
        <v/>
      </c>
      <c r="G388" s="10">
        <f>IF(F388="","",TODAY()-F388)</f>
        <v/>
      </c>
      <c r="H388" s="11">
        <f>IF(F388="","",IF(G388&lt;0,"Em dia",IF(G388&lt;=15,"Chamar agora",IF(G388&lt;=60,"Sumida","Reativar"))))</f>
        <v/>
      </c>
      <c r="I388" s="12" t="n"/>
      <c r="J388" s="8">
        <f>IF(I388="","",MONTH(I388))</f>
        <v/>
      </c>
      <c r="K388" s="5" t="n"/>
    </row>
    <row r="389">
      <c r="A389" s="5" t="n"/>
      <c r="B389" s="5" t="n"/>
      <c r="C389" s="5" t="n"/>
      <c r="D389" s="7" t="n"/>
      <c r="E389" s="8">
        <f>IF(C389="","",IFERROR(VLOOKUP(C389,Ciclos!$A$5:$B$29,2,FALSE),""))</f>
        <v/>
      </c>
      <c r="F389" s="9">
        <f>IF(OR(D389="",E389=""),"",D389+E389)</f>
        <v/>
      </c>
      <c r="G389" s="10">
        <f>IF(F389="","",TODAY()-F389)</f>
        <v/>
      </c>
      <c r="H389" s="11">
        <f>IF(F389="","",IF(G389&lt;0,"Em dia",IF(G389&lt;=15,"Chamar agora",IF(G389&lt;=60,"Sumida","Reativar"))))</f>
        <v/>
      </c>
      <c r="I389" s="12" t="n"/>
      <c r="J389" s="8">
        <f>IF(I389="","",MONTH(I389))</f>
        <v/>
      </c>
      <c r="K389" s="5" t="n"/>
    </row>
    <row r="390">
      <c r="A390" s="5" t="n"/>
      <c r="B390" s="5" t="n"/>
      <c r="C390" s="5" t="n"/>
      <c r="D390" s="7" t="n"/>
      <c r="E390" s="8">
        <f>IF(C390="","",IFERROR(VLOOKUP(C390,Ciclos!$A$5:$B$29,2,FALSE),""))</f>
        <v/>
      </c>
      <c r="F390" s="9">
        <f>IF(OR(D390="",E390=""),"",D390+E390)</f>
        <v/>
      </c>
      <c r="G390" s="10">
        <f>IF(F390="","",TODAY()-F390)</f>
        <v/>
      </c>
      <c r="H390" s="11">
        <f>IF(F390="","",IF(G390&lt;0,"Em dia",IF(G390&lt;=15,"Chamar agora",IF(G390&lt;=60,"Sumida","Reativar"))))</f>
        <v/>
      </c>
      <c r="I390" s="12" t="n"/>
      <c r="J390" s="8">
        <f>IF(I390="","",MONTH(I390))</f>
        <v/>
      </c>
      <c r="K390" s="5" t="n"/>
    </row>
    <row r="391">
      <c r="A391" s="5" t="n"/>
      <c r="B391" s="5" t="n"/>
      <c r="C391" s="5" t="n"/>
      <c r="D391" s="7" t="n"/>
      <c r="E391" s="8">
        <f>IF(C391="","",IFERROR(VLOOKUP(C391,Ciclos!$A$5:$B$29,2,FALSE),""))</f>
        <v/>
      </c>
      <c r="F391" s="9">
        <f>IF(OR(D391="",E391=""),"",D391+E391)</f>
        <v/>
      </c>
      <c r="G391" s="10">
        <f>IF(F391="","",TODAY()-F391)</f>
        <v/>
      </c>
      <c r="H391" s="11">
        <f>IF(F391="","",IF(G391&lt;0,"Em dia",IF(G391&lt;=15,"Chamar agora",IF(G391&lt;=60,"Sumida","Reativar"))))</f>
        <v/>
      </c>
      <c r="I391" s="12" t="n"/>
      <c r="J391" s="8">
        <f>IF(I391="","",MONTH(I391))</f>
        <v/>
      </c>
      <c r="K391" s="5" t="n"/>
    </row>
    <row r="392">
      <c r="A392" s="5" t="n"/>
      <c r="B392" s="5" t="n"/>
      <c r="C392" s="5" t="n"/>
      <c r="D392" s="7" t="n"/>
      <c r="E392" s="8">
        <f>IF(C392="","",IFERROR(VLOOKUP(C392,Ciclos!$A$5:$B$29,2,FALSE),""))</f>
        <v/>
      </c>
      <c r="F392" s="9">
        <f>IF(OR(D392="",E392=""),"",D392+E392)</f>
        <v/>
      </c>
      <c r="G392" s="10">
        <f>IF(F392="","",TODAY()-F392)</f>
        <v/>
      </c>
      <c r="H392" s="11">
        <f>IF(F392="","",IF(G392&lt;0,"Em dia",IF(G392&lt;=15,"Chamar agora",IF(G392&lt;=60,"Sumida","Reativar"))))</f>
        <v/>
      </c>
      <c r="I392" s="12" t="n"/>
      <c r="J392" s="8">
        <f>IF(I392="","",MONTH(I392))</f>
        <v/>
      </c>
      <c r="K392" s="5" t="n"/>
    </row>
    <row r="393">
      <c r="A393" s="5" t="n"/>
      <c r="B393" s="5" t="n"/>
      <c r="C393" s="5" t="n"/>
      <c r="D393" s="7" t="n"/>
      <c r="E393" s="8">
        <f>IF(C393="","",IFERROR(VLOOKUP(C393,Ciclos!$A$5:$B$29,2,FALSE),""))</f>
        <v/>
      </c>
      <c r="F393" s="9">
        <f>IF(OR(D393="",E393=""),"",D393+E393)</f>
        <v/>
      </c>
      <c r="G393" s="10">
        <f>IF(F393="","",TODAY()-F393)</f>
        <v/>
      </c>
      <c r="H393" s="11">
        <f>IF(F393="","",IF(G393&lt;0,"Em dia",IF(G393&lt;=15,"Chamar agora",IF(G393&lt;=60,"Sumida","Reativar"))))</f>
        <v/>
      </c>
      <c r="I393" s="12" t="n"/>
      <c r="J393" s="8">
        <f>IF(I393="","",MONTH(I393))</f>
        <v/>
      </c>
      <c r="K393" s="5" t="n"/>
    </row>
    <row r="394">
      <c r="A394" s="5" t="n"/>
      <c r="B394" s="5" t="n"/>
      <c r="C394" s="5" t="n"/>
      <c r="D394" s="7" t="n"/>
      <c r="E394" s="8">
        <f>IF(C394="","",IFERROR(VLOOKUP(C394,Ciclos!$A$5:$B$29,2,FALSE),""))</f>
        <v/>
      </c>
      <c r="F394" s="9">
        <f>IF(OR(D394="",E394=""),"",D394+E394)</f>
        <v/>
      </c>
      <c r="G394" s="10">
        <f>IF(F394="","",TODAY()-F394)</f>
        <v/>
      </c>
      <c r="H394" s="11">
        <f>IF(F394="","",IF(G394&lt;0,"Em dia",IF(G394&lt;=15,"Chamar agora",IF(G394&lt;=60,"Sumida","Reativar"))))</f>
        <v/>
      </c>
      <c r="I394" s="12" t="n"/>
      <c r="J394" s="8">
        <f>IF(I394="","",MONTH(I394))</f>
        <v/>
      </c>
      <c r="K394" s="5" t="n"/>
    </row>
    <row r="395">
      <c r="A395" s="5" t="n"/>
      <c r="B395" s="5" t="n"/>
      <c r="C395" s="5" t="n"/>
      <c r="D395" s="7" t="n"/>
      <c r="E395" s="8">
        <f>IF(C395="","",IFERROR(VLOOKUP(C395,Ciclos!$A$5:$B$29,2,FALSE),""))</f>
        <v/>
      </c>
      <c r="F395" s="9">
        <f>IF(OR(D395="",E395=""),"",D395+E395)</f>
        <v/>
      </c>
      <c r="G395" s="10">
        <f>IF(F395="","",TODAY()-F395)</f>
        <v/>
      </c>
      <c r="H395" s="11">
        <f>IF(F395="","",IF(G395&lt;0,"Em dia",IF(G395&lt;=15,"Chamar agora",IF(G395&lt;=60,"Sumida","Reativar"))))</f>
        <v/>
      </c>
      <c r="I395" s="12" t="n"/>
      <c r="J395" s="8">
        <f>IF(I395="","",MONTH(I395))</f>
        <v/>
      </c>
      <c r="K395" s="5" t="n"/>
    </row>
    <row r="396">
      <c r="A396" s="5" t="n"/>
      <c r="B396" s="5" t="n"/>
      <c r="C396" s="5" t="n"/>
      <c r="D396" s="7" t="n"/>
      <c r="E396" s="8">
        <f>IF(C396="","",IFERROR(VLOOKUP(C396,Ciclos!$A$5:$B$29,2,FALSE),""))</f>
        <v/>
      </c>
      <c r="F396" s="9">
        <f>IF(OR(D396="",E396=""),"",D396+E396)</f>
        <v/>
      </c>
      <c r="G396" s="10">
        <f>IF(F396="","",TODAY()-F396)</f>
        <v/>
      </c>
      <c r="H396" s="11">
        <f>IF(F396="","",IF(G396&lt;0,"Em dia",IF(G396&lt;=15,"Chamar agora",IF(G396&lt;=60,"Sumida","Reativar"))))</f>
        <v/>
      </c>
      <c r="I396" s="12" t="n"/>
      <c r="J396" s="8">
        <f>IF(I396="","",MONTH(I396))</f>
        <v/>
      </c>
      <c r="K396" s="5" t="n"/>
    </row>
    <row r="397">
      <c r="A397" s="5" t="n"/>
      <c r="B397" s="5" t="n"/>
      <c r="C397" s="5" t="n"/>
      <c r="D397" s="7" t="n"/>
      <c r="E397" s="8">
        <f>IF(C397="","",IFERROR(VLOOKUP(C397,Ciclos!$A$5:$B$29,2,FALSE),""))</f>
        <v/>
      </c>
      <c r="F397" s="9">
        <f>IF(OR(D397="",E397=""),"",D397+E397)</f>
        <v/>
      </c>
      <c r="G397" s="10">
        <f>IF(F397="","",TODAY()-F397)</f>
        <v/>
      </c>
      <c r="H397" s="11">
        <f>IF(F397="","",IF(G397&lt;0,"Em dia",IF(G397&lt;=15,"Chamar agora",IF(G397&lt;=60,"Sumida","Reativar"))))</f>
        <v/>
      </c>
      <c r="I397" s="12" t="n"/>
      <c r="J397" s="8">
        <f>IF(I397="","",MONTH(I397))</f>
        <v/>
      </c>
      <c r="K397" s="5" t="n"/>
    </row>
    <row r="398">
      <c r="A398" s="5" t="n"/>
      <c r="B398" s="5" t="n"/>
      <c r="C398" s="5" t="n"/>
      <c r="D398" s="7" t="n"/>
      <c r="E398" s="8">
        <f>IF(C398="","",IFERROR(VLOOKUP(C398,Ciclos!$A$5:$B$29,2,FALSE),""))</f>
        <v/>
      </c>
      <c r="F398" s="9">
        <f>IF(OR(D398="",E398=""),"",D398+E398)</f>
        <v/>
      </c>
      <c r="G398" s="10">
        <f>IF(F398="","",TODAY()-F398)</f>
        <v/>
      </c>
      <c r="H398" s="11">
        <f>IF(F398="","",IF(G398&lt;0,"Em dia",IF(G398&lt;=15,"Chamar agora",IF(G398&lt;=60,"Sumida","Reativar"))))</f>
        <v/>
      </c>
      <c r="I398" s="12" t="n"/>
      <c r="J398" s="8">
        <f>IF(I398="","",MONTH(I398))</f>
        <v/>
      </c>
      <c r="K398" s="5" t="n"/>
    </row>
    <row r="399">
      <c r="A399" s="5" t="n"/>
      <c r="B399" s="5" t="n"/>
      <c r="C399" s="5" t="n"/>
      <c r="D399" s="7" t="n"/>
      <c r="E399" s="8">
        <f>IF(C399="","",IFERROR(VLOOKUP(C399,Ciclos!$A$5:$B$29,2,FALSE),""))</f>
        <v/>
      </c>
      <c r="F399" s="9">
        <f>IF(OR(D399="",E399=""),"",D399+E399)</f>
        <v/>
      </c>
      <c r="G399" s="10">
        <f>IF(F399="","",TODAY()-F399)</f>
        <v/>
      </c>
      <c r="H399" s="11">
        <f>IF(F399="","",IF(G399&lt;0,"Em dia",IF(G399&lt;=15,"Chamar agora",IF(G399&lt;=60,"Sumida","Reativar"))))</f>
        <v/>
      </c>
      <c r="I399" s="12" t="n"/>
      <c r="J399" s="8">
        <f>IF(I399="","",MONTH(I399))</f>
        <v/>
      </c>
      <c r="K399" s="5" t="n"/>
    </row>
    <row r="400">
      <c r="A400" s="5" t="n"/>
      <c r="B400" s="5" t="n"/>
      <c r="C400" s="5" t="n"/>
      <c r="D400" s="7" t="n"/>
      <c r="E400" s="8">
        <f>IF(C400="","",IFERROR(VLOOKUP(C400,Ciclos!$A$5:$B$29,2,FALSE),""))</f>
        <v/>
      </c>
      <c r="F400" s="9">
        <f>IF(OR(D400="",E400=""),"",D400+E400)</f>
        <v/>
      </c>
      <c r="G400" s="10">
        <f>IF(F400="","",TODAY()-F400)</f>
        <v/>
      </c>
      <c r="H400" s="11">
        <f>IF(F400="","",IF(G400&lt;0,"Em dia",IF(G400&lt;=15,"Chamar agora",IF(G400&lt;=60,"Sumida","Reativar"))))</f>
        <v/>
      </c>
      <c r="I400" s="12" t="n"/>
      <c r="J400" s="8">
        <f>IF(I400="","",MONTH(I400))</f>
        <v/>
      </c>
      <c r="K400" s="5" t="n"/>
    </row>
    <row r="401">
      <c r="A401" s="5" t="n"/>
      <c r="B401" s="5" t="n"/>
      <c r="C401" s="5" t="n"/>
      <c r="D401" s="7" t="n"/>
      <c r="E401" s="8">
        <f>IF(C401="","",IFERROR(VLOOKUP(C401,Ciclos!$A$5:$B$29,2,FALSE),""))</f>
        <v/>
      </c>
      <c r="F401" s="9">
        <f>IF(OR(D401="",E401=""),"",D401+E401)</f>
        <v/>
      </c>
      <c r="G401" s="10">
        <f>IF(F401="","",TODAY()-F401)</f>
        <v/>
      </c>
      <c r="H401" s="11">
        <f>IF(F401="","",IF(G401&lt;0,"Em dia",IF(G401&lt;=15,"Chamar agora",IF(G401&lt;=60,"Sumida","Reativar"))))</f>
        <v/>
      </c>
      <c r="I401" s="12" t="n"/>
      <c r="J401" s="8">
        <f>IF(I401="","",MONTH(I401))</f>
        <v/>
      </c>
      <c r="K401" s="5" t="n"/>
    </row>
    <row r="402">
      <c r="A402" s="5" t="n"/>
      <c r="B402" s="5" t="n"/>
      <c r="C402" s="5" t="n"/>
      <c r="D402" s="7" t="n"/>
      <c r="E402" s="8">
        <f>IF(C402="","",IFERROR(VLOOKUP(C402,Ciclos!$A$5:$B$29,2,FALSE),""))</f>
        <v/>
      </c>
      <c r="F402" s="9">
        <f>IF(OR(D402="",E402=""),"",D402+E402)</f>
        <v/>
      </c>
      <c r="G402" s="10">
        <f>IF(F402="","",TODAY()-F402)</f>
        <v/>
      </c>
      <c r="H402" s="11">
        <f>IF(F402="","",IF(G402&lt;0,"Em dia",IF(G402&lt;=15,"Chamar agora",IF(G402&lt;=60,"Sumida","Reativar"))))</f>
        <v/>
      </c>
      <c r="I402" s="12" t="n"/>
      <c r="J402" s="8">
        <f>IF(I402="","",MONTH(I402))</f>
        <v/>
      </c>
      <c r="K402" s="5" t="n"/>
    </row>
    <row r="403">
      <c r="A403" s="5" t="n"/>
      <c r="B403" s="5" t="n"/>
      <c r="C403" s="5" t="n"/>
      <c r="D403" s="7" t="n"/>
      <c r="E403" s="8">
        <f>IF(C403="","",IFERROR(VLOOKUP(C403,Ciclos!$A$5:$B$29,2,FALSE),""))</f>
        <v/>
      </c>
      <c r="F403" s="9">
        <f>IF(OR(D403="",E403=""),"",D403+E403)</f>
        <v/>
      </c>
      <c r="G403" s="10">
        <f>IF(F403="","",TODAY()-F403)</f>
        <v/>
      </c>
      <c r="H403" s="11">
        <f>IF(F403="","",IF(G403&lt;0,"Em dia",IF(G403&lt;=15,"Chamar agora",IF(G403&lt;=60,"Sumida","Reativar"))))</f>
        <v/>
      </c>
      <c r="I403" s="12" t="n"/>
      <c r="J403" s="8">
        <f>IF(I403="","",MONTH(I403))</f>
        <v/>
      </c>
      <c r="K403" s="5" t="n"/>
    </row>
    <row r="404">
      <c r="A404" s="5" t="n"/>
      <c r="B404" s="5" t="n"/>
      <c r="C404" s="5" t="n"/>
      <c r="D404" s="7" t="n"/>
      <c r="E404" s="8">
        <f>IF(C404="","",IFERROR(VLOOKUP(C404,Ciclos!$A$5:$B$29,2,FALSE),""))</f>
        <v/>
      </c>
      <c r="F404" s="9">
        <f>IF(OR(D404="",E404=""),"",D404+E404)</f>
        <v/>
      </c>
      <c r="G404" s="10">
        <f>IF(F404="","",TODAY()-F404)</f>
        <v/>
      </c>
      <c r="H404" s="11">
        <f>IF(F404="","",IF(G404&lt;0,"Em dia",IF(G404&lt;=15,"Chamar agora",IF(G404&lt;=60,"Sumida","Reativar"))))</f>
        <v/>
      </c>
      <c r="I404" s="12" t="n"/>
      <c r="J404" s="8">
        <f>IF(I404="","",MONTH(I404))</f>
        <v/>
      </c>
      <c r="K404" s="5" t="n"/>
    </row>
  </sheetData>
  <autoFilter ref="A4:K404"/>
  <conditionalFormatting sqref="H5:H404">
    <cfRule type="expression" priority="1" dxfId="0">
      <formula>$H5="Em dia"</formula>
    </cfRule>
    <cfRule type="expression" priority="2" dxfId="1">
      <formula>$H5="Chamar agora"</formula>
    </cfRule>
    <cfRule type="expression" priority="3" dxfId="2">
      <formula>OR($H5="Sumida",$H5="Reativar")</formula>
    </cfRule>
  </conditionalFormatting>
  <dataValidations count="1">
    <dataValidation sqref="C5:C404" showDropDown="0" showInputMessage="0" showErrorMessage="0" allowBlank="1" type="list">
      <formula1>=Ciclos!$A$5:$A$29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2" customWidth="1" min="4" max="4"/>
    <col width="13" customWidth="1" min="5" max="5"/>
    <col width="13" customWidth="1" min="6" max="6"/>
    <col width="15" customWidth="1" min="7" max="7"/>
    <col width="13" customWidth="1" min="8" max="8"/>
    <col width="15" customWidth="1" min="9" max="9"/>
    <col width="12" customWidth="1" min="10" max="10"/>
    <col width="20" customWidth="1" min="11" max="11"/>
  </cols>
  <sheetData>
    <row r="1">
      <c r="A1" s="1" t="inlineStr">
        <is>
          <t>Precificação: o preço mínimo de cada serviço</t>
        </is>
      </c>
    </row>
    <row r="2">
      <c r="A2" s="2" t="inlineStr">
        <is>
          <t>Preço mínimo = (custo do tempo + produto) ÷ (1 − comissão − taxa − margem)</t>
        </is>
      </c>
    </row>
    <row r="4">
      <c r="A4" s="6" t="inlineStr">
        <is>
          <t>CUSTOS FIXOS DO MÊS</t>
        </is>
      </c>
      <c r="D4" s="6" t="inlineStr">
        <is>
          <t>PARÂMETROS</t>
        </is>
      </c>
    </row>
    <row r="5">
      <c r="A5" t="inlineStr">
        <is>
          <t>Aluguel</t>
        </is>
      </c>
      <c r="B5" s="13" t="n">
        <v>2500</v>
      </c>
      <c r="D5" t="inlineStr">
        <is>
          <t>Horas produtivas no mês (atendendo de fato)</t>
        </is>
      </c>
      <c r="E5" s="14" t="n">
        <v>250</v>
      </c>
    </row>
    <row r="6">
      <c r="A6" t="inlineStr">
        <is>
          <t>Condomínio / IPTU</t>
        </is>
      </c>
      <c r="B6" s="13" t="n">
        <v>300</v>
      </c>
      <c r="D6" t="inlineStr">
        <is>
          <t>Comissão padrão da profissional</t>
        </is>
      </c>
      <c r="E6" s="15" t="n">
        <v>0.4</v>
      </c>
    </row>
    <row r="7">
      <c r="A7" t="inlineStr">
        <is>
          <t>Luz</t>
        </is>
      </c>
      <c r="B7" s="13" t="n">
        <v>450</v>
      </c>
      <c r="D7" t="inlineStr">
        <is>
          <t>Taxa média do cartão / maquininha</t>
        </is>
      </c>
      <c r="E7" s="15" t="n">
        <v>0.03</v>
      </c>
    </row>
    <row r="8">
      <c r="A8" t="inlineStr">
        <is>
          <t>Água</t>
        </is>
      </c>
      <c r="B8" s="13" t="n">
        <v>150</v>
      </c>
      <c r="D8" t="inlineStr">
        <is>
          <t>Margem de lucro desejada</t>
        </is>
      </c>
      <c r="E8" s="15" t="n">
        <v>0.2</v>
      </c>
    </row>
    <row r="9">
      <c r="A9" t="inlineStr">
        <is>
          <t>Internet e telefone</t>
        </is>
      </c>
      <c r="B9" s="13" t="n">
        <v>150</v>
      </c>
    </row>
    <row r="10">
      <c r="A10" t="inlineStr">
        <is>
          <t>Contador e sistema</t>
        </is>
      </c>
      <c r="B10" s="13" t="n">
        <v>350</v>
      </c>
      <c r="D10" t="inlineStr">
        <is>
          <t>Custo por hora</t>
        </is>
      </c>
      <c r="E10" s="16">
        <f>IF(E5=0,0,B16/E5)</f>
        <v/>
      </c>
    </row>
    <row r="11">
      <c r="A11" t="inlineStr">
        <is>
          <t>Pró-labore (seu salário)</t>
        </is>
      </c>
      <c r="B11" s="13" t="n">
        <v>3000</v>
      </c>
      <c r="D11" t="inlineStr">
        <is>
          <t>Custo por minuto</t>
        </is>
      </c>
      <c r="E11" s="17">
        <f>E10/60</f>
        <v/>
      </c>
    </row>
    <row r="12">
      <c r="A12" t="inlineStr">
        <is>
          <t>Salários fixos + encargos</t>
        </is>
      </c>
      <c r="B12" s="13" t="n">
        <v>0</v>
      </c>
    </row>
    <row r="13">
      <c r="A13" t="inlineStr">
        <is>
          <t>Limpeza e manutenção</t>
        </is>
      </c>
      <c r="B13" s="13" t="n">
        <v>300</v>
      </c>
      <c r="D13" s="2" t="inlineStr">
        <is>
          <t>Horas produtivas: some as horas em que cada profissional está atendendo no mês.</t>
        </is>
      </c>
    </row>
    <row r="14">
      <c r="A14" t="inlineStr">
        <is>
          <t>Marketing</t>
        </is>
      </c>
      <c r="B14" s="13" t="n">
        <v>300</v>
      </c>
      <c r="D14" s="2" t="inlineStr">
        <is>
          <t>Os valores já preenchidos são EXEMPLOS. Troque pelos seus.</t>
        </is>
      </c>
    </row>
    <row r="15">
      <c r="A15" t="inlineStr">
        <is>
          <t>Outros</t>
        </is>
      </c>
      <c r="B15" s="13" t="n">
        <v>500</v>
      </c>
    </row>
    <row r="16">
      <c r="A16" s="6" t="inlineStr">
        <is>
          <t>Total de custos fixos</t>
        </is>
      </c>
      <c r="B16" s="16">
        <f>SUM(B5:B15)</f>
        <v/>
      </c>
    </row>
    <row r="19" ht="36" customHeight="1">
      <c r="A19" s="4" t="inlineStr">
        <is>
          <t>Serviço</t>
        </is>
      </c>
      <c r="B19" s="4" t="inlineStr">
        <is>
          <t>Duração (min)</t>
        </is>
      </c>
      <c r="C19" s="4" t="inlineStr">
        <is>
          <t>Custo do produto</t>
        </is>
      </c>
      <c r="D19" s="4" t="inlineStr">
        <is>
          <t>Comissão %</t>
        </is>
      </c>
      <c r="E19" s="4" t="inlineStr">
        <is>
          <t>Preço atual</t>
        </is>
      </c>
      <c r="F19" s="4" t="inlineStr">
        <is>
          <t>Custo do tempo</t>
        </is>
      </c>
      <c r="G19" s="4" t="inlineStr">
        <is>
          <t>PREÇO MÍNIMO</t>
        </is>
      </c>
      <c r="H19" s="4" t="inlineStr">
        <is>
          <t>Diferença</t>
        </is>
      </c>
      <c r="I19" s="4" t="inlineStr">
        <is>
          <t>Lucro por atendimento</t>
        </is>
      </c>
      <c r="J19" s="4" t="inlineStr">
        <is>
          <t>Margem real</t>
        </is>
      </c>
      <c r="K19" s="4" t="inlineStr">
        <is>
          <t>Situação</t>
        </is>
      </c>
    </row>
    <row r="20">
      <c r="A20" s="5" t="inlineStr">
        <is>
          <t>Escova</t>
        </is>
      </c>
      <c r="B20" s="5" t="n">
        <v>45</v>
      </c>
      <c r="C20" s="13" t="n">
        <v>6</v>
      </c>
      <c r="D20" s="15" t="n"/>
      <c r="E20" s="13" t="n">
        <v>60</v>
      </c>
      <c r="F20" s="18">
        <f>IF(B20="","",B20*$E$11)</f>
        <v/>
      </c>
      <c r="G20" s="16">
        <f>IF(B20="","",IFERROR((F20+C20)/(1-IF(D20="",$E$6,D20)-$E$7-$E$8),"verifique %"))</f>
        <v/>
      </c>
      <c r="H20" s="18">
        <f>IF(OR(E20="",B20=""),"",E20-G20)</f>
        <v/>
      </c>
      <c r="I20" s="18">
        <f>IF(OR(E20="",B20=""),"",E20*(1-IF(D20="",$E$6,D20)-$E$7)-F20-C20)</f>
        <v/>
      </c>
      <c r="J20" s="19">
        <f>IF(OR(E20="",E20=0,B20=""),"",I20/E20)</f>
        <v/>
      </c>
      <c r="K20" s="11">
        <f>IF(OR(E20="",B20=""),"",IF(E20&lt;G20,"ABAIXO DO MÍNIMO",IF(E20&lt;G20*1.15,"No limite","Saudável")))</f>
        <v/>
      </c>
    </row>
    <row r="21">
      <c r="A21" s="5" t="inlineStr">
        <is>
          <t>Corte feminino</t>
        </is>
      </c>
      <c r="B21" s="5" t="n">
        <v>50</v>
      </c>
      <c r="C21" s="13" t="n">
        <v>3</v>
      </c>
      <c r="D21" s="15" t="n"/>
      <c r="E21" s="13" t="n">
        <v>90</v>
      </c>
      <c r="F21" s="18">
        <f>IF(B21="","",B21*$E$11)</f>
        <v/>
      </c>
      <c r="G21" s="16">
        <f>IF(B21="","",IFERROR((F21+C21)/(1-IF(D21="",$E$6,D21)-$E$7-$E$8),"verifique %"))</f>
        <v/>
      </c>
      <c r="H21" s="18">
        <f>IF(OR(E21="",B21=""),"",E21-G21)</f>
        <v/>
      </c>
      <c r="I21" s="18">
        <f>IF(OR(E21="",B21=""),"",E21*(1-IF(D21="",$E$6,D21)-$E$7)-F21-C21)</f>
        <v/>
      </c>
      <c r="J21" s="19">
        <f>IF(OR(E21="",E21=0,B21=""),"",I21/E21)</f>
        <v/>
      </c>
      <c r="K21" s="11">
        <f>IF(OR(E21="",B21=""),"",IF(E21&lt;G21,"ABAIXO DO MÍNIMO",IF(E21&lt;G21*1.15,"No limite","Saudável")))</f>
        <v/>
      </c>
    </row>
    <row r="22">
      <c r="A22" s="5" t="inlineStr">
        <is>
          <t>Coloração</t>
        </is>
      </c>
      <c r="B22" s="5" t="n">
        <v>120</v>
      </c>
      <c r="C22" s="13" t="n">
        <v>45</v>
      </c>
      <c r="D22" s="15" t="n"/>
      <c r="E22" s="13" t="n">
        <v>180</v>
      </c>
      <c r="F22" s="18">
        <f>IF(B22="","",B22*$E$11)</f>
        <v/>
      </c>
      <c r="G22" s="16">
        <f>IF(B22="","",IFERROR((F22+C22)/(1-IF(D22="",$E$6,D22)-$E$7-$E$8),"verifique %"))</f>
        <v/>
      </c>
      <c r="H22" s="18">
        <f>IF(OR(E22="",B22=""),"",E22-G22)</f>
        <v/>
      </c>
      <c r="I22" s="18">
        <f>IF(OR(E22="",B22=""),"",E22*(1-IF(D22="",$E$6,D22)-$E$7)-F22-C22)</f>
        <v/>
      </c>
      <c r="J22" s="19">
        <f>IF(OR(E22="",E22=0,B22=""),"",I22/E22)</f>
        <v/>
      </c>
      <c r="K22" s="11">
        <f>IF(OR(E22="",B22=""),"",IF(E22&lt;G22,"ABAIXO DO MÍNIMO",IF(E22&lt;G22*1.15,"No limite","Saudável")))</f>
        <v/>
      </c>
    </row>
    <row r="23">
      <c r="A23" s="5" t="inlineStr">
        <is>
          <t>Manicure</t>
        </is>
      </c>
      <c r="B23" s="5" t="n">
        <v>40</v>
      </c>
      <c r="C23" s="13" t="n">
        <v>4</v>
      </c>
      <c r="D23" s="15" t="n"/>
      <c r="E23" s="13" t="n">
        <v>35</v>
      </c>
      <c r="F23" s="18">
        <f>IF(B23="","",B23*$E$11)</f>
        <v/>
      </c>
      <c r="G23" s="16">
        <f>IF(B23="","",IFERROR((F23+C23)/(1-IF(D23="",$E$6,D23)-$E$7-$E$8),"verifique %"))</f>
        <v/>
      </c>
      <c r="H23" s="18">
        <f>IF(OR(E23="",B23=""),"",E23-G23)</f>
        <v/>
      </c>
      <c r="I23" s="18">
        <f>IF(OR(E23="",B23=""),"",E23*(1-IF(D23="",$E$6,D23)-$E$7)-F23-C23)</f>
        <v/>
      </c>
      <c r="J23" s="19">
        <f>IF(OR(E23="",E23=0,B23=""),"",I23/E23)</f>
        <v/>
      </c>
      <c r="K23" s="11">
        <f>IF(OR(E23="",B23=""),"",IF(E23&lt;G23,"ABAIXO DO MÍNIMO",IF(E23&lt;G23*1.15,"No limite","Saudável")))</f>
        <v/>
      </c>
    </row>
    <row r="24">
      <c r="A24" s="5" t="inlineStr">
        <is>
          <t>Progressiva</t>
        </is>
      </c>
      <c r="B24" s="5" t="n">
        <v>180</v>
      </c>
      <c r="C24" s="13" t="n">
        <v>70</v>
      </c>
      <c r="D24" s="15" t="n"/>
      <c r="E24" s="13" t="n">
        <v>250</v>
      </c>
      <c r="F24" s="18">
        <f>IF(B24="","",B24*$E$11)</f>
        <v/>
      </c>
      <c r="G24" s="16">
        <f>IF(B24="","",IFERROR((F24+C24)/(1-IF(D24="",$E$6,D24)-$E$7-$E$8),"verifique %"))</f>
        <v/>
      </c>
      <c r="H24" s="18">
        <f>IF(OR(E24="",B24=""),"",E24-G24)</f>
        <v/>
      </c>
      <c r="I24" s="18">
        <f>IF(OR(E24="",B24=""),"",E24*(1-IF(D24="",$E$6,D24)-$E$7)-F24-C24)</f>
        <v/>
      </c>
      <c r="J24" s="19">
        <f>IF(OR(E24="",E24=0,B24=""),"",I24/E24)</f>
        <v/>
      </c>
      <c r="K24" s="11">
        <f>IF(OR(E24="",B24=""),"",IF(E24&lt;G24,"ABAIXO DO MÍNIMO",IF(E24&lt;G24*1.15,"No limite","Saudável")))</f>
        <v/>
      </c>
    </row>
    <row r="25">
      <c r="A25" s="5" t="n"/>
      <c r="B25" s="5" t="n"/>
      <c r="C25" s="13" t="n"/>
      <c r="D25" s="15" t="n"/>
      <c r="E25" s="13" t="n"/>
      <c r="F25" s="18">
        <f>IF(B25="","",B25*$E$11)</f>
        <v/>
      </c>
      <c r="G25" s="16">
        <f>IF(B25="","",IFERROR((F25+C25)/(1-IF(D25="",$E$6,D25)-$E$7-$E$8),"verifique %"))</f>
        <v/>
      </c>
      <c r="H25" s="18">
        <f>IF(OR(E25="",B25=""),"",E25-G25)</f>
        <v/>
      </c>
      <c r="I25" s="18">
        <f>IF(OR(E25="",B25=""),"",E25*(1-IF(D25="",$E$6,D25)-$E$7)-F25-C25)</f>
        <v/>
      </c>
      <c r="J25" s="19">
        <f>IF(OR(E25="",E25=0,B25=""),"",I25/E25)</f>
        <v/>
      </c>
      <c r="K25" s="11">
        <f>IF(OR(E25="",B25=""),"",IF(E25&lt;G25,"ABAIXO DO MÍNIMO",IF(E25&lt;G25*1.15,"No limite","Saudável")))</f>
        <v/>
      </c>
    </row>
    <row r="26">
      <c r="A26" s="5" t="n"/>
      <c r="B26" s="5" t="n"/>
      <c r="C26" s="13" t="n"/>
      <c r="D26" s="15" t="n"/>
      <c r="E26" s="13" t="n"/>
      <c r="F26" s="18">
        <f>IF(B26="","",B26*$E$11)</f>
        <v/>
      </c>
      <c r="G26" s="16">
        <f>IF(B26="","",IFERROR((F26+C26)/(1-IF(D26="",$E$6,D26)-$E$7-$E$8),"verifique %"))</f>
        <v/>
      </c>
      <c r="H26" s="18">
        <f>IF(OR(E26="",B26=""),"",E26-G26)</f>
        <v/>
      </c>
      <c r="I26" s="18">
        <f>IF(OR(E26="",B26=""),"",E26*(1-IF(D26="",$E$6,D26)-$E$7)-F26-C26)</f>
        <v/>
      </c>
      <c r="J26" s="19">
        <f>IF(OR(E26="",E26=0,B26=""),"",I26/E26)</f>
        <v/>
      </c>
      <c r="K26" s="11">
        <f>IF(OR(E26="",B26=""),"",IF(E26&lt;G26,"ABAIXO DO MÍNIMO",IF(E26&lt;G26*1.15,"No limite","Saudável")))</f>
        <v/>
      </c>
    </row>
    <row r="27">
      <c r="A27" s="5" t="n"/>
      <c r="B27" s="5" t="n"/>
      <c r="C27" s="13" t="n"/>
      <c r="D27" s="15" t="n"/>
      <c r="E27" s="13" t="n"/>
      <c r="F27" s="18">
        <f>IF(B27="","",B27*$E$11)</f>
        <v/>
      </c>
      <c r="G27" s="16">
        <f>IF(B27="","",IFERROR((F27+C27)/(1-IF(D27="",$E$6,D27)-$E$7-$E$8),"verifique %"))</f>
        <v/>
      </c>
      <c r="H27" s="18">
        <f>IF(OR(E27="",B27=""),"",E27-G27)</f>
        <v/>
      </c>
      <c r="I27" s="18">
        <f>IF(OR(E27="",B27=""),"",E27*(1-IF(D27="",$E$6,D27)-$E$7)-F27-C27)</f>
        <v/>
      </c>
      <c r="J27" s="19">
        <f>IF(OR(E27="",E27=0,B27=""),"",I27/E27)</f>
        <v/>
      </c>
      <c r="K27" s="11">
        <f>IF(OR(E27="",B27=""),"",IF(E27&lt;G27,"ABAIXO DO MÍNIMO",IF(E27&lt;G27*1.15,"No limite","Saudável")))</f>
        <v/>
      </c>
    </row>
    <row r="28">
      <c r="A28" s="5" t="n"/>
      <c r="B28" s="5" t="n"/>
      <c r="C28" s="13" t="n"/>
      <c r="D28" s="15" t="n"/>
      <c r="E28" s="13" t="n"/>
      <c r="F28" s="18">
        <f>IF(B28="","",B28*$E$11)</f>
        <v/>
      </c>
      <c r="G28" s="16">
        <f>IF(B28="","",IFERROR((F28+C28)/(1-IF(D28="",$E$6,D28)-$E$7-$E$8),"verifique %"))</f>
        <v/>
      </c>
      <c r="H28" s="18">
        <f>IF(OR(E28="",B28=""),"",E28-G28)</f>
        <v/>
      </c>
      <c r="I28" s="18">
        <f>IF(OR(E28="",B28=""),"",E28*(1-IF(D28="",$E$6,D28)-$E$7)-F28-C28)</f>
        <v/>
      </c>
      <c r="J28" s="19">
        <f>IF(OR(E28="",E28=0,B28=""),"",I28/E28)</f>
        <v/>
      </c>
      <c r="K28" s="11">
        <f>IF(OR(E28="",B28=""),"",IF(E28&lt;G28,"ABAIXO DO MÍNIMO",IF(E28&lt;G28*1.15,"No limite","Saudável")))</f>
        <v/>
      </c>
    </row>
    <row r="29">
      <c r="A29" s="5" t="n"/>
      <c r="B29" s="5" t="n"/>
      <c r="C29" s="13" t="n"/>
      <c r="D29" s="15" t="n"/>
      <c r="E29" s="13" t="n"/>
      <c r="F29" s="18">
        <f>IF(B29="","",B29*$E$11)</f>
        <v/>
      </c>
      <c r="G29" s="16">
        <f>IF(B29="","",IFERROR((F29+C29)/(1-IF(D29="",$E$6,D29)-$E$7-$E$8),"verifique %"))</f>
        <v/>
      </c>
      <c r="H29" s="18">
        <f>IF(OR(E29="",B29=""),"",E29-G29)</f>
        <v/>
      </c>
      <c r="I29" s="18">
        <f>IF(OR(E29="",B29=""),"",E29*(1-IF(D29="",$E$6,D29)-$E$7)-F29-C29)</f>
        <v/>
      </c>
      <c r="J29" s="19">
        <f>IF(OR(E29="",E29=0,B29=""),"",I29/E29)</f>
        <v/>
      </c>
      <c r="K29" s="11">
        <f>IF(OR(E29="",B29=""),"",IF(E29&lt;G29,"ABAIXO DO MÍNIMO",IF(E29&lt;G29*1.15,"No limite","Saudável")))</f>
        <v/>
      </c>
    </row>
    <row r="30">
      <c r="A30" s="5" t="n"/>
      <c r="B30" s="5" t="n"/>
      <c r="C30" s="13" t="n"/>
      <c r="D30" s="15" t="n"/>
      <c r="E30" s="13" t="n"/>
      <c r="F30" s="18">
        <f>IF(B30="","",B30*$E$11)</f>
        <v/>
      </c>
      <c r="G30" s="16">
        <f>IF(B30="","",IFERROR((F30+C30)/(1-IF(D30="",$E$6,D30)-$E$7-$E$8),"verifique %"))</f>
        <v/>
      </c>
      <c r="H30" s="18">
        <f>IF(OR(E30="",B30=""),"",E30-G30)</f>
        <v/>
      </c>
      <c r="I30" s="18">
        <f>IF(OR(E30="",B30=""),"",E30*(1-IF(D30="",$E$6,D30)-$E$7)-F30-C30)</f>
        <v/>
      </c>
      <c r="J30" s="19">
        <f>IF(OR(E30="",E30=0,B30=""),"",I30/E30)</f>
        <v/>
      </c>
      <c r="K30" s="11">
        <f>IF(OR(E30="",B30=""),"",IF(E30&lt;G30,"ABAIXO DO MÍNIMO",IF(E30&lt;G30*1.15,"No limite","Saudável")))</f>
        <v/>
      </c>
    </row>
    <row r="31">
      <c r="A31" s="5" t="n"/>
      <c r="B31" s="5" t="n"/>
      <c r="C31" s="13" t="n"/>
      <c r="D31" s="15" t="n"/>
      <c r="E31" s="13" t="n"/>
      <c r="F31" s="18">
        <f>IF(B31="","",B31*$E$11)</f>
        <v/>
      </c>
      <c r="G31" s="16">
        <f>IF(B31="","",IFERROR((F31+C31)/(1-IF(D31="",$E$6,D31)-$E$7-$E$8),"verifique %"))</f>
        <v/>
      </c>
      <c r="H31" s="18">
        <f>IF(OR(E31="",B31=""),"",E31-G31)</f>
        <v/>
      </c>
      <c r="I31" s="18">
        <f>IF(OR(E31="",B31=""),"",E31*(1-IF(D31="",$E$6,D31)-$E$7)-F31-C31)</f>
        <v/>
      </c>
      <c r="J31" s="19">
        <f>IF(OR(E31="",E31=0,B31=""),"",I31/E31)</f>
        <v/>
      </c>
      <c r="K31" s="11">
        <f>IF(OR(E31="",B31=""),"",IF(E31&lt;G31,"ABAIXO DO MÍNIMO",IF(E31&lt;G31*1.15,"No limite","Saudável")))</f>
        <v/>
      </c>
    </row>
    <row r="32">
      <c r="A32" s="5" t="n"/>
      <c r="B32" s="5" t="n"/>
      <c r="C32" s="13" t="n"/>
      <c r="D32" s="15" t="n"/>
      <c r="E32" s="13" t="n"/>
      <c r="F32" s="18">
        <f>IF(B32="","",B32*$E$11)</f>
        <v/>
      </c>
      <c r="G32" s="16">
        <f>IF(B32="","",IFERROR((F32+C32)/(1-IF(D32="",$E$6,D32)-$E$7-$E$8),"verifique %"))</f>
        <v/>
      </c>
      <c r="H32" s="18">
        <f>IF(OR(E32="",B32=""),"",E32-G32)</f>
        <v/>
      </c>
      <c r="I32" s="18">
        <f>IF(OR(E32="",B32=""),"",E32*(1-IF(D32="",$E$6,D32)-$E$7)-F32-C32)</f>
        <v/>
      </c>
      <c r="J32" s="19">
        <f>IF(OR(E32="",E32=0,B32=""),"",I32/E32)</f>
        <v/>
      </c>
      <c r="K32" s="11">
        <f>IF(OR(E32="",B32=""),"",IF(E32&lt;G32,"ABAIXO DO MÍNIMO",IF(E32&lt;G32*1.15,"No limite","Saudável")))</f>
        <v/>
      </c>
    </row>
    <row r="33">
      <c r="A33" s="5" t="n"/>
      <c r="B33" s="5" t="n"/>
      <c r="C33" s="13" t="n"/>
      <c r="D33" s="15" t="n"/>
      <c r="E33" s="13" t="n"/>
      <c r="F33" s="18">
        <f>IF(B33="","",B33*$E$11)</f>
        <v/>
      </c>
      <c r="G33" s="16">
        <f>IF(B33="","",IFERROR((F33+C33)/(1-IF(D33="",$E$6,D33)-$E$7-$E$8),"verifique %"))</f>
        <v/>
      </c>
      <c r="H33" s="18">
        <f>IF(OR(E33="",B33=""),"",E33-G33)</f>
        <v/>
      </c>
      <c r="I33" s="18">
        <f>IF(OR(E33="",B33=""),"",E33*(1-IF(D33="",$E$6,D33)-$E$7)-F33-C33)</f>
        <v/>
      </c>
      <c r="J33" s="19">
        <f>IF(OR(E33="",E33=0,B33=""),"",I33/E33)</f>
        <v/>
      </c>
      <c r="K33" s="11">
        <f>IF(OR(E33="",B33=""),"",IF(E33&lt;G33,"ABAIXO DO MÍNIMO",IF(E33&lt;G33*1.15,"No limite","Saudável")))</f>
        <v/>
      </c>
    </row>
    <row r="34">
      <c r="A34" s="5" t="n"/>
      <c r="B34" s="5" t="n"/>
      <c r="C34" s="13" t="n"/>
      <c r="D34" s="15" t="n"/>
      <c r="E34" s="13" t="n"/>
      <c r="F34" s="18">
        <f>IF(B34="","",B34*$E$11)</f>
        <v/>
      </c>
      <c r="G34" s="16">
        <f>IF(B34="","",IFERROR((F34+C34)/(1-IF(D34="",$E$6,D34)-$E$7-$E$8),"verifique %"))</f>
        <v/>
      </c>
      <c r="H34" s="18">
        <f>IF(OR(E34="",B34=""),"",E34-G34)</f>
        <v/>
      </c>
      <c r="I34" s="18">
        <f>IF(OR(E34="",B34=""),"",E34*(1-IF(D34="",$E$6,D34)-$E$7)-F34-C34)</f>
        <v/>
      </c>
      <c r="J34" s="19">
        <f>IF(OR(E34="",E34=0,B34=""),"",I34/E34)</f>
        <v/>
      </c>
      <c r="K34" s="11">
        <f>IF(OR(E34="",B34=""),"",IF(E34&lt;G34,"ABAIXO DO MÍNIMO",IF(E34&lt;G34*1.15,"No limite","Saudável")))</f>
        <v/>
      </c>
    </row>
    <row r="35">
      <c r="A35" s="5" t="n"/>
      <c r="B35" s="5" t="n"/>
      <c r="C35" s="13" t="n"/>
      <c r="D35" s="15" t="n"/>
      <c r="E35" s="13" t="n"/>
      <c r="F35" s="18">
        <f>IF(B35="","",B35*$E$11)</f>
        <v/>
      </c>
      <c r="G35" s="16">
        <f>IF(B35="","",IFERROR((F35+C35)/(1-IF(D35="",$E$6,D35)-$E$7-$E$8),"verifique %"))</f>
        <v/>
      </c>
      <c r="H35" s="18">
        <f>IF(OR(E35="",B35=""),"",E35-G35)</f>
        <v/>
      </c>
      <c r="I35" s="18">
        <f>IF(OR(E35="",B35=""),"",E35*(1-IF(D35="",$E$6,D35)-$E$7)-F35-C35)</f>
        <v/>
      </c>
      <c r="J35" s="19">
        <f>IF(OR(E35="",E35=0,B35=""),"",I35/E35)</f>
        <v/>
      </c>
      <c r="K35" s="11">
        <f>IF(OR(E35="",B35=""),"",IF(E35&lt;G35,"ABAIXO DO MÍNIMO",IF(E35&lt;G35*1.15,"No limite","Saudável")))</f>
        <v/>
      </c>
    </row>
    <row r="36">
      <c r="A36" s="5" t="n"/>
      <c r="B36" s="5" t="n"/>
      <c r="C36" s="13" t="n"/>
      <c r="D36" s="15" t="n"/>
      <c r="E36" s="13" t="n"/>
      <c r="F36" s="18">
        <f>IF(B36="","",B36*$E$11)</f>
        <v/>
      </c>
      <c r="G36" s="16">
        <f>IF(B36="","",IFERROR((F36+C36)/(1-IF(D36="",$E$6,D36)-$E$7-$E$8),"verifique %"))</f>
        <v/>
      </c>
      <c r="H36" s="18">
        <f>IF(OR(E36="",B36=""),"",E36-G36)</f>
        <v/>
      </c>
      <c r="I36" s="18">
        <f>IF(OR(E36="",B36=""),"",E36*(1-IF(D36="",$E$6,D36)-$E$7)-F36-C36)</f>
        <v/>
      </c>
      <c r="J36" s="19">
        <f>IF(OR(E36="",E36=0,B36=""),"",I36/E36)</f>
        <v/>
      </c>
      <c r="K36" s="11">
        <f>IF(OR(E36="",B36=""),"",IF(E36&lt;G36,"ABAIXO DO MÍNIMO",IF(E36&lt;G36*1.15,"No limite","Saudável")))</f>
        <v/>
      </c>
    </row>
    <row r="37">
      <c r="A37" s="5" t="n"/>
      <c r="B37" s="5" t="n"/>
      <c r="C37" s="13" t="n"/>
      <c r="D37" s="15" t="n"/>
      <c r="E37" s="13" t="n"/>
      <c r="F37" s="18">
        <f>IF(B37="","",B37*$E$11)</f>
        <v/>
      </c>
      <c r="G37" s="16">
        <f>IF(B37="","",IFERROR((F37+C37)/(1-IF(D37="",$E$6,D37)-$E$7-$E$8),"verifique %"))</f>
        <v/>
      </c>
      <c r="H37" s="18">
        <f>IF(OR(E37="",B37=""),"",E37-G37)</f>
        <v/>
      </c>
      <c r="I37" s="18">
        <f>IF(OR(E37="",B37=""),"",E37*(1-IF(D37="",$E$6,D37)-$E$7)-F37-C37)</f>
        <v/>
      </c>
      <c r="J37" s="19">
        <f>IF(OR(E37="",E37=0,B37=""),"",I37/E37)</f>
        <v/>
      </c>
      <c r="K37" s="11">
        <f>IF(OR(E37="",B37=""),"",IF(E37&lt;G37,"ABAIXO DO MÍNIMO",IF(E37&lt;G37*1.15,"No limite","Saudável")))</f>
        <v/>
      </c>
    </row>
    <row r="38">
      <c r="A38" s="5" t="n"/>
      <c r="B38" s="5" t="n"/>
      <c r="C38" s="13" t="n"/>
      <c r="D38" s="15" t="n"/>
      <c r="E38" s="13" t="n"/>
      <c r="F38" s="18">
        <f>IF(B38="","",B38*$E$11)</f>
        <v/>
      </c>
      <c r="G38" s="16">
        <f>IF(B38="","",IFERROR((F38+C38)/(1-IF(D38="",$E$6,D38)-$E$7-$E$8),"verifique %"))</f>
        <v/>
      </c>
      <c r="H38" s="18">
        <f>IF(OR(E38="",B38=""),"",E38-G38)</f>
        <v/>
      </c>
      <c r="I38" s="18">
        <f>IF(OR(E38="",B38=""),"",E38*(1-IF(D38="",$E$6,D38)-$E$7)-F38-C38)</f>
        <v/>
      </c>
      <c r="J38" s="19">
        <f>IF(OR(E38="",E38=0,B38=""),"",I38/E38)</f>
        <v/>
      </c>
      <c r="K38" s="11">
        <f>IF(OR(E38="",B38=""),"",IF(E38&lt;G38,"ABAIXO DO MÍNIMO",IF(E38&lt;G38*1.15,"No limite","Saudável")))</f>
        <v/>
      </c>
    </row>
    <row r="39">
      <c r="A39" s="5" t="n"/>
      <c r="B39" s="5" t="n"/>
      <c r="C39" s="13" t="n"/>
      <c r="D39" s="15" t="n"/>
      <c r="E39" s="13" t="n"/>
      <c r="F39" s="18">
        <f>IF(B39="","",B39*$E$11)</f>
        <v/>
      </c>
      <c r="G39" s="16">
        <f>IF(B39="","",IFERROR((F39+C39)/(1-IF(D39="",$E$6,D39)-$E$7-$E$8),"verifique %"))</f>
        <v/>
      </c>
      <c r="H39" s="18">
        <f>IF(OR(E39="",B39=""),"",E39-G39)</f>
        <v/>
      </c>
      <c r="I39" s="18">
        <f>IF(OR(E39="",B39=""),"",E39*(1-IF(D39="",$E$6,D39)-$E$7)-F39-C39)</f>
        <v/>
      </c>
      <c r="J39" s="19">
        <f>IF(OR(E39="",E39=0,B39=""),"",I39/E39)</f>
        <v/>
      </c>
      <c r="K39" s="11">
        <f>IF(OR(E39="",B39=""),"",IF(E39&lt;G39,"ABAIXO DO MÍNIMO",IF(E39&lt;G39*1.15,"No limite","Saudável")))</f>
        <v/>
      </c>
    </row>
    <row r="41">
      <c r="A41" s="2" t="inlineStr">
        <is>
          <t>Comissão % em branco = usa a comissão padrão. Lucro por atendimento já desconta comissão, taxa, tempo e produto.</t>
        </is>
      </c>
    </row>
  </sheetData>
  <conditionalFormatting sqref="K20:K39">
    <cfRule type="expression" priority="1" dxfId="2">
      <formula>$K20="ABAIXO DO MÍNIMO"</formula>
    </cfRule>
    <cfRule type="expression" priority="2" dxfId="1">
      <formula>$K20="No limite"</formula>
    </cfRule>
    <cfRule type="expression" priority="3" dxfId="0">
      <formula>$K20="Saudável"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Metas e ocupação</t>
        </is>
      </c>
    </row>
    <row r="2">
      <c r="A2" s="2" t="inlineStr">
        <is>
          <t>Descubra quanto da sua agenda está sendo usada e quanto falta para a meta.</t>
        </is>
      </c>
    </row>
    <row r="4">
      <c r="A4" t="inlineStr">
        <is>
          <t>Número de profissionais atendendo</t>
        </is>
      </c>
      <c r="B4" s="14" t="n">
        <v>2</v>
      </c>
    </row>
    <row r="5">
      <c r="A5" t="inlineStr">
        <is>
          <t>Horas de trabalho por dia (cada)</t>
        </is>
      </c>
      <c r="B5" s="14" t="n">
        <v>8</v>
      </c>
    </row>
    <row r="6">
      <c r="A6" t="inlineStr">
        <is>
          <t>Dias trabalhados no mês</t>
        </is>
      </c>
      <c r="B6" s="14" t="n">
        <v>22</v>
      </c>
    </row>
    <row r="7">
      <c r="A7" t="inlineStr">
        <is>
          <t>Atendimentos realizados no mês</t>
        </is>
      </c>
      <c r="B7" s="14" t="n">
        <v>180</v>
      </c>
    </row>
    <row r="8">
      <c r="A8" t="inlineStr">
        <is>
          <t>Duração média de um atendimento (min)</t>
        </is>
      </c>
      <c r="B8" s="14" t="n">
        <v>60</v>
      </c>
    </row>
    <row r="9">
      <c r="A9" t="inlineStr">
        <is>
          <t>Faturamento do mês (R$)</t>
        </is>
      </c>
      <c r="B9" s="13" t="n">
        <v>16200</v>
      </c>
    </row>
    <row r="10">
      <c r="A10" t="inlineStr">
        <is>
          <t>Meta de faturamento do mês (R$)</t>
        </is>
      </c>
      <c r="B10" s="13" t="n">
        <v>22000</v>
      </c>
    </row>
    <row r="12">
      <c r="A12" s="20" t="inlineStr">
        <is>
          <t>Horas disponíveis no mês</t>
        </is>
      </c>
      <c r="B12" s="21">
        <f>B4*B5*B6</f>
        <v/>
      </c>
    </row>
    <row r="13">
      <c r="A13" s="20" t="inlineStr">
        <is>
          <t>Horas atendidas no mês</t>
        </is>
      </c>
      <c r="B13" s="21">
        <f>B7*B8/60</f>
        <v/>
      </c>
    </row>
    <row r="14">
      <c r="A14" s="6" t="inlineStr">
        <is>
          <t>TAXA DE OCUPAÇÃO</t>
        </is>
      </c>
      <c r="B14" s="22">
        <f>IF(B12=0,0,B13/B12)</f>
        <v/>
      </c>
    </row>
    <row r="15">
      <c r="A15" s="20" t="inlineStr">
        <is>
          <t>Ticket médio (R$)</t>
        </is>
      </c>
      <c r="B15" s="16">
        <f>IF(B7=0,0,B9/B7)</f>
        <v/>
      </c>
    </row>
    <row r="16">
      <c r="A16" s="20" t="inlineStr">
        <is>
          <t>Atendimentos necessários para a meta</t>
        </is>
      </c>
      <c r="B16" s="21">
        <f>IF(B15=0,0,ROUNDUP(B10/B15,0))</f>
        <v/>
      </c>
    </row>
    <row r="17">
      <c r="A17" s="20" t="inlineStr">
        <is>
          <t>Atendimentos a mais por mês</t>
        </is>
      </c>
      <c r="B17" s="21">
        <f>MAX(0,B16-B7)</f>
        <v/>
      </c>
    </row>
    <row r="18">
      <c r="A18" s="20" t="inlineStr">
        <is>
          <t>Atendimentos a mais por dia</t>
        </is>
      </c>
      <c r="B18" s="23">
        <f>IF(B6=0,0,ROUNDUP(B17/B6,1))</f>
        <v/>
      </c>
    </row>
    <row r="19">
      <c r="A19" s="20" t="inlineStr">
        <is>
          <t>Ocupação necessária para a meta</t>
        </is>
      </c>
      <c r="B19" s="22">
        <f>IF(B12=0,0,B16*B8/60/B12)</f>
        <v/>
      </c>
    </row>
    <row r="20" ht="45" customHeight="1">
      <c r="A20" s="6" t="inlineStr">
        <is>
          <t>Diagnóstico</t>
        </is>
      </c>
      <c r="B20" s="24">
        <f>IF(B19&gt;1,"Meta exige mais que 100% da agenda: suba o ticket (combos, preço) ou a equipe",IF(B14&lt;0.6,"Ocupação baixa: foque em retenção e divulgação",IF(B14&lt;0.85,"Ocupação saudável: trabalhe ticket e frequência","Agenda quase cheia: hora de reajustar preço ou contratar")))</f>
        <v/>
      </c>
    </row>
    <row r="23">
      <c r="A23" s="6" t="inlineStr">
        <is>
          <t>ACOMPANHAMENTO MENSAL</t>
        </is>
      </c>
    </row>
    <row r="24" ht="36" customHeight="1">
      <c r="A24" s="4" t="inlineStr">
        <is>
          <t>Mês</t>
        </is>
      </c>
      <c r="B24" s="4" t="inlineStr">
        <is>
          <t>Faturamento</t>
        </is>
      </c>
      <c r="C24" s="4" t="inlineStr">
        <is>
          <t>Atendimentos</t>
        </is>
      </c>
      <c r="D24" s="4" t="inlineStr">
        <is>
          <t>Ticket médio</t>
        </is>
      </c>
      <c r="E24" s="4" t="inlineStr">
        <is>
          <t>Clientes novas</t>
        </is>
      </c>
      <c r="F24" s="4" t="inlineStr">
        <is>
          <t>Novas que voltaram em 60 dias</t>
        </is>
      </c>
      <c r="G24" s="4" t="inlineStr">
        <is>
          <t>Taxa de retorno</t>
        </is>
      </c>
      <c r="H24" s="4" t="inlineStr">
        <is>
          <t>Ocupação</t>
        </is>
      </c>
    </row>
    <row r="25">
      <c r="A25" t="inlineStr">
        <is>
          <t>Jan</t>
        </is>
      </c>
      <c r="B25" s="13" t="n"/>
      <c r="C25" s="14" t="n"/>
      <c r="D25" s="18">
        <f>IF(OR(C25="",C25=0),"",B25/C25)</f>
        <v/>
      </c>
      <c r="E25" s="14" t="n"/>
      <c r="F25" s="14" t="n"/>
      <c r="G25" s="19">
        <f>IF(OR(E25="",E25=0),"",F25/E25)</f>
        <v/>
      </c>
      <c r="H25" s="15" t="n"/>
    </row>
    <row r="26">
      <c r="A26" t="inlineStr">
        <is>
          <t>Fev</t>
        </is>
      </c>
      <c r="B26" s="13" t="n"/>
      <c r="C26" s="14" t="n"/>
      <c r="D26" s="18">
        <f>IF(OR(C26="",C26=0),"",B26/C26)</f>
        <v/>
      </c>
      <c r="E26" s="14" t="n"/>
      <c r="F26" s="14" t="n"/>
      <c r="G26" s="19">
        <f>IF(OR(E26="",E26=0),"",F26/E26)</f>
        <v/>
      </c>
      <c r="H26" s="15" t="n"/>
    </row>
    <row r="27">
      <c r="A27" t="inlineStr">
        <is>
          <t>Mar</t>
        </is>
      </c>
      <c r="B27" s="13" t="n"/>
      <c r="C27" s="14" t="n"/>
      <c r="D27" s="18">
        <f>IF(OR(C27="",C27=0),"",B27/C27)</f>
        <v/>
      </c>
      <c r="E27" s="14" t="n"/>
      <c r="F27" s="14" t="n"/>
      <c r="G27" s="19">
        <f>IF(OR(E27="",E27=0),"",F27/E27)</f>
        <v/>
      </c>
      <c r="H27" s="15" t="n"/>
    </row>
    <row r="28">
      <c r="A28" t="inlineStr">
        <is>
          <t>Abr</t>
        </is>
      </c>
      <c r="B28" s="13" t="n"/>
      <c r="C28" s="14" t="n"/>
      <c r="D28" s="18">
        <f>IF(OR(C28="",C28=0),"",B28/C28)</f>
        <v/>
      </c>
      <c r="E28" s="14" t="n"/>
      <c r="F28" s="14" t="n"/>
      <c r="G28" s="19">
        <f>IF(OR(E28="",E28=0),"",F28/E28)</f>
        <v/>
      </c>
      <c r="H28" s="15" t="n"/>
    </row>
    <row r="29">
      <c r="A29" t="inlineStr">
        <is>
          <t>Mai</t>
        </is>
      </c>
      <c r="B29" s="13" t="n"/>
      <c r="C29" s="14" t="n"/>
      <c r="D29" s="18">
        <f>IF(OR(C29="",C29=0),"",B29/C29)</f>
        <v/>
      </c>
      <c r="E29" s="14" t="n"/>
      <c r="F29" s="14" t="n"/>
      <c r="G29" s="19">
        <f>IF(OR(E29="",E29=0),"",F29/E29)</f>
        <v/>
      </c>
      <c r="H29" s="15" t="n"/>
    </row>
    <row r="30">
      <c r="A30" t="inlineStr">
        <is>
          <t>Jun</t>
        </is>
      </c>
      <c r="B30" s="13" t="n"/>
      <c r="C30" s="14" t="n"/>
      <c r="D30" s="18">
        <f>IF(OR(C30="",C30=0),"",B30/C30)</f>
        <v/>
      </c>
      <c r="E30" s="14" t="n"/>
      <c r="F30" s="14" t="n"/>
      <c r="G30" s="19">
        <f>IF(OR(E30="",E30=0),"",F30/E30)</f>
        <v/>
      </c>
      <c r="H30" s="15" t="n"/>
    </row>
    <row r="31">
      <c r="A31" t="inlineStr">
        <is>
          <t>Jul</t>
        </is>
      </c>
      <c r="B31" s="13" t="n"/>
      <c r="C31" s="14" t="n"/>
      <c r="D31" s="18">
        <f>IF(OR(C31="",C31=0),"",B31/C31)</f>
        <v/>
      </c>
      <c r="E31" s="14" t="n"/>
      <c r="F31" s="14" t="n"/>
      <c r="G31" s="19">
        <f>IF(OR(E31="",E31=0),"",F31/E31)</f>
        <v/>
      </c>
      <c r="H31" s="15" t="n"/>
    </row>
    <row r="32">
      <c r="A32" t="inlineStr">
        <is>
          <t>Ago</t>
        </is>
      </c>
      <c r="B32" s="13" t="n"/>
      <c r="C32" s="14" t="n"/>
      <c r="D32" s="18">
        <f>IF(OR(C32="",C32=0),"",B32/C32)</f>
        <v/>
      </c>
      <c r="E32" s="14" t="n"/>
      <c r="F32" s="14" t="n"/>
      <c r="G32" s="19">
        <f>IF(OR(E32="",E32=0),"",F32/E32)</f>
        <v/>
      </c>
      <c r="H32" s="15" t="n"/>
    </row>
    <row r="33">
      <c r="A33" t="inlineStr">
        <is>
          <t>Set</t>
        </is>
      </c>
      <c r="B33" s="13" t="n"/>
      <c r="C33" s="14" t="n"/>
      <c r="D33" s="18">
        <f>IF(OR(C33="",C33=0),"",B33/C33)</f>
        <v/>
      </c>
      <c r="E33" s="14" t="n"/>
      <c r="F33" s="14" t="n"/>
      <c r="G33" s="19">
        <f>IF(OR(E33="",E33=0),"",F33/E33)</f>
        <v/>
      </c>
      <c r="H33" s="15" t="n"/>
    </row>
    <row r="34">
      <c r="A34" t="inlineStr">
        <is>
          <t>Out</t>
        </is>
      </c>
      <c r="B34" s="13" t="n"/>
      <c r="C34" s="14" t="n"/>
      <c r="D34" s="18">
        <f>IF(OR(C34="",C34=0),"",B34/C34)</f>
        <v/>
      </c>
      <c r="E34" s="14" t="n"/>
      <c r="F34" s="14" t="n"/>
      <c r="G34" s="19">
        <f>IF(OR(E34="",E34=0),"",F34/E34)</f>
        <v/>
      </c>
      <c r="H34" s="15" t="n"/>
    </row>
    <row r="35">
      <c r="A35" t="inlineStr">
        <is>
          <t>Nov</t>
        </is>
      </c>
      <c r="B35" s="13" t="n"/>
      <c r="C35" s="14" t="n"/>
      <c r="D35" s="18">
        <f>IF(OR(C35="",C35=0),"",B35/C35)</f>
        <v/>
      </c>
      <c r="E35" s="14" t="n"/>
      <c r="F35" s="14" t="n"/>
      <c r="G35" s="19">
        <f>IF(OR(E35="",E35=0),"",F35/E35)</f>
        <v/>
      </c>
      <c r="H35" s="15" t="n"/>
    </row>
    <row r="36">
      <c r="A36" t="inlineStr">
        <is>
          <t>Dez</t>
        </is>
      </c>
      <c r="B36" s="13" t="n"/>
      <c r="C36" s="14" t="n"/>
      <c r="D36" s="18">
        <f>IF(OR(C36="",C36=0),"",B36/C36)</f>
        <v/>
      </c>
      <c r="E36" s="14" t="n"/>
      <c r="F36" s="14" t="n"/>
      <c r="G36" s="19">
        <f>IF(OR(E36="",E36=0),"",F36/E36)</f>
        <v/>
      </c>
      <c r="H36" s="15" t="n"/>
    </row>
    <row r="38">
      <c r="A38" s="2" t="inlineStr">
        <is>
          <t>Taxa de retorno abaixo de 40% (em vermelho): o problema é experiência ou falta de lembrete, não marketing.</t>
        </is>
      </c>
    </row>
  </sheetData>
  <conditionalFormatting sqref="G25:G36">
    <cfRule type="expression" priority="1" dxfId="2">
      <formula>AND(ISNUMBER($G25),$G25&lt;0.4)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48" customWidth="1" min="5" max="5"/>
    <col width="9" customWidth="1" min="6" max="6"/>
    <col width="9" customWidth="1" min="7" max="7"/>
  </cols>
  <sheetData>
    <row r="1">
      <c r="A1" s="1" t="inlineStr">
        <is>
          <t>Calendário de conteúdo: 30 dias</t>
        </is>
      </c>
    </row>
    <row r="2">
      <c r="A2" s="2" t="inlineStr">
        <is>
          <t>Um tipo de conteúdo por dia. Gere a semana inteira no domingo com o Prompt 12.</t>
        </is>
      </c>
    </row>
    <row r="4" ht="32" customHeight="1">
      <c r="A4" s="4" t="inlineStr">
        <is>
          <t>Dia</t>
        </is>
      </c>
      <c r="B4" s="4" t="inlineStr">
        <is>
          <t>Semana / foco</t>
        </is>
      </c>
      <c r="C4" s="4" t="inlineStr">
        <is>
          <t>Dia da semana</t>
        </is>
      </c>
      <c r="D4" s="4" t="inlineStr">
        <is>
          <t>Tipo</t>
        </is>
      </c>
      <c r="E4" s="4" t="inlineStr">
        <is>
          <t>Ideia de post</t>
        </is>
      </c>
      <c r="F4" s="4" t="inlineStr">
        <is>
          <t>Prompt</t>
        </is>
      </c>
      <c r="G4" s="4" t="inlineStr">
        <is>
          <t>Feito?</t>
        </is>
      </c>
    </row>
    <row r="5">
      <c r="A5" t="n">
        <v>1</v>
      </c>
      <c r="B5" t="inlineStr">
        <is>
          <t>1 · Apresentar o salão</t>
        </is>
      </c>
      <c r="C5" t="inlineStr">
        <is>
          <t>Seg</t>
        </is>
      </c>
      <c r="D5" t="inlineStr">
        <is>
          <t>Atração</t>
        </is>
      </c>
      <c r="E5" t="inlineStr">
        <is>
          <t>Dica rápida de cuidado em casa</t>
        </is>
      </c>
      <c r="F5" t="inlineStr">
        <is>
          <t>6</t>
        </is>
      </c>
      <c r="G5" s="5" t="n"/>
    </row>
    <row r="6">
      <c r="A6" t="n">
        <v>2</v>
      </c>
      <c r="B6" t="inlineStr">
        <is>
          <t>1 · Apresentar o salão</t>
        </is>
      </c>
      <c r="C6" t="inlineStr">
        <is>
          <t>Ter</t>
        </is>
      </c>
      <c r="D6" t="inlineStr">
        <is>
          <t>Venda</t>
        </is>
      </c>
      <c r="E6" t="inlineStr">
        <is>
          <t>Horários livres da semana + link do WhatsApp</t>
        </is>
      </c>
      <c r="F6" t="inlineStr">
        <is>
          <t>15</t>
        </is>
      </c>
      <c r="G6" s="5" t="n"/>
    </row>
    <row r="7">
      <c r="A7" t="n">
        <v>3</v>
      </c>
      <c r="B7" t="inlineStr">
        <is>
          <t>1 · Apresentar o salão</t>
        </is>
      </c>
      <c r="C7" t="inlineStr">
        <is>
          <t>Qua</t>
        </is>
      </c>
      <c r="D7" t="inlineStr">
        <is>
          <t>Prova</t>
        </is>
      </c>
      <c r="E7" t="inlineStr">
        <is>
          <t>Antes e depois do carro-chefe</t>
        </is>
      </c>
      <c r="F7" t="inlineStr">
        <is>
          <t>7</t>
        </is>
      </c>
      <c r="G7" s="5" t="n"/>
    </row>
    <row r="8">
      <c r="A8" t="n">
        <v>4</v>
      </c>
      <c r="B8" t="inlineStr">
        <is>
          <t>1 · Apresentar o salão</t>
        </is>
      </c>
      <c r="C8" t="inlineStr">
        <is>
          <t>Qui</t>
        </is>
      </c>
      <c r="D8" t="inlineStr">
        <is>
          <t>Prova</t>
        </is>
      </c>
      <c r="E8" t="inlineStr">
        <is>
          <t>Depoimento de cliente</t>
        </is>
      </c>
      <c r="F8" t="inlineStr">
        <is>
          <t>11</t>
        </is>
      </c>
      <c r="G8" s="5" t="n"/>
    </row>
    <row r="9">
      <c r="A9" t="n">
        <v>5</v>
      </c>
      <c r="B9" t="inlineStr">
        <is>
          <t>1 · Apresentar o salão</t>
        </is>
      </c>
      <c r="C9" t="inlineStr">
        <is>
          <t>Sex</t>
        </is>
      </c>
      <c r="D9" t="inlineStr">
        <is>
          <t>Atração</t>
        </is>
      </c>
      <c r="E9" t="inlineStr">
        <is>
          <t>Reels de transformação</t>
        </is>
      </c>
      <c r="F9" t="inlineStr">
        <is>
          <t>9</t>
        </is>
      </c>
      <c r="G9" s="5" t="n"/>
    </row>
    <row r="10">
      <c r="A10" t="n">
        <v>6</v>
      </c>
      <c r="B10" t="inlineStr">
        <is>
          <t>1 · Apresentar o salão</t>
        </is>
      </c>
      <c r="C10" t="inlineStr">
        <is>
          <t>Sáb</t>
        </is>
      </c>
      <c r="D10" t="inlineStr">
        <is>
          <t>Conexão</t>
        </is>
      </c>
      <c r="E10" t="inlineStr">
        <is>
          <t>Bastidor: um dia no salão / equipe</t>
        </is>
      </c>
      <c r="F10" t="inlineStr">
        <is>
          <t>8</t>
        </is>
      </c>
      <c r="G10" s="5" t="n"/>
    </row>
    <row r="11">
      <c r="A11" t="n">
        <v>7</v>
      </c>
      <c r="B11" t="inlineStr">
        <is>
          <t>1 · Apresentar o salão</t>
        </is>
      </c>
      <c r="C11" t="inlineStr">
        <is>
          <t>Dom</t>
        </is>
      </c>
      <c r="D11" t="inlineStr">
        <is>
          <t>Descanso</t>
        </is>
      </c>
      <c r="E11" t="inlineStr">
        <is>
          <t>Story leve + gerar os posts da semana</t>
        </is>
      </c>
      <c r="F11" t="inlineStr">
        <is>
          <t>12</t>
        </is>
      </c>
      <c r="G11" s="5" t="n"/>
    </row>
    <row r="12">
      <c r="A12" t="n">
        <v>8</v>
      </c>
      <c r="B12" t="inlineStr">
        <is>
          <t>2 · Carro-chefe</t>
        </is>
      </c>
      <c r="C12" t="inlineStr">
        <is>
          <t>Seg</t>
        </is>
      </c>
      <c r="D12" t="inlineStr">
        <is>
          <t>Atração</t>
        </is>
      </c>
      <c r="E12" t="inlineStr">
        <is>
          <t>Dica rápida de cuidado em casa</t>
        </is>
      </c>
      <c r="F12" t="inlineStr">
        <is>
          <t>6</t>
        </is>
      </c>
      <c r="G12" s="5" t="n"/>
    </row>
    <row r="13">
      <c r="A13" t="n">
        <v>9</v>
      </c>
      <c r="B13" t="inlineStr">
        <is>
          <t>2 · Carro-chefe</t>
        </is>
      </c>
      <c r="C13" t="inlineStr">
        <is>
          <t>Ter</t>
        </is>
      </c>
      <c r="D13" t="inlineStr">
        <is>
          <t>Venda</t>
        </is>
      </c>
      <c r="E13" t="inlineStr">
        <is>
          <t>Horários livres da semana + link do WhatsApp</t>
        </is>
      </c>
      <c r="F13" t="inlineStr">
        <is>
          <t>15</t>
        </is>
      </c>
      <c r="G13" s="5" t="n"/>
    </row>
    <row r="14">
      <c r="A14" t="n">
        <v>10</v>
      </c>
      <c r="B14" t="inlineStr">
        <is>
          <t>2 · Carro-chefe</t>
        </is>
      </c>
      <c r="C14" t="inlineStr">
        <is>
          <t>Qua</t>
        </is>
      </c>
      <c r="D14" t="inlineStr">
        <is>
          <t>Prova</t>
        </is>
      </c>
      <c r="E14" t="inlineStr">
        <is>
          <t>Antes e depois do carro-chefe</t>
        </is>
      </c>
      <c r="F14" t="inlineStr">
        <is>
          <t>7</t>
        </is>
      </c>
      <c r="G14" s="5" t="n"/>
    </row>
    <row r="15">
      <c r="A15" t="n">
        <v>11</v>
      </c>
      <c r="B15" t="inlineStr">
        <is>
          <t>2 · Carro-chefe</t>
        </is>
      </c>
      <c r="C15" t="inlineStr">
        <is>
          <t>Qui</t>
        </is>
      </c>
      <c r="D15" t="inlineStr">
        <is>
          <t>Prova</t>
        </is>
      </c>
      <c r="E15" t="inlineStr">
        <is>
          <t>Depoimento de cliente</t>
        </is>
      </c>
      <c r="F15" t="inlineStr">
        <is>
          <t>11</t>
        </is>
      </c>
      <c r="G15" s="5" t="n"/>
    </row>
    <row r="16">
      <c r="A16" t="n">
        <v>12</v>
      </c>
      <c r="B16" t="inlineStr">
        <is>
          <t>2 · Carro-chefe</t>
        </is>
      </c>
      <c r="C16" t="inlineStr">
        <is>
          <t>Sex</t>
        </is>
      </c>
      <c r="D16" t="inlineStr">
        <is>
          <t>Atração</t>
        </is>
      </c>
      <c r="E16" t="inlineStr">
        <is>
          <t>Reels de transformação</t>
        </is>
      </c>
      <c r="F16" t="inlineStr">
        <is>
          <t>9</t>
        </is>
      </c>
      <c r="G16" s="5" t="n"/>
    </row>
    <row r="17">
      <c r="A17" t="n">
        <v>13</v>
      </c>
      <c r="B17" t="inlineStr">
        <is>
          <t>2 · Carro-chefe</t>
        </is>
      </c>
      <c r="C17" t="inlineStr">
        <is>
          <t>Sáb</t>
        </is>
      </c>
      <c r="D17" t="inlineStr">
        <is>
          <t>Conexão</t>
        </is>
      </c>
      <c r="E17" t="inlineStr">
        <is>
          <t>Bastidor: um dia no salão / equipe</t>
        </is>
      </c>
      <c r="F17" t="inlineStr">
        <is>
          <t>8</t>
        </is>
      </c>
      <c r="G17" s="5" t="n"/>
    </row>
    <row r="18">
      <c r="A18" t="n">
        <v>14</v>
      </c>
      <c r="B18" t="inlineStr">
        <is>
          <t>2 · Carro-chefe</t>
        </is>
      </c>
      <c r="C18" t="inlineStr">
        <is>
          <t>Dom</t>
        </is>
      </c>
      <c r="D18" t="inlineStr">
        <is>
          <t>Descanso</t>
        </is>
      </c>
      <c r="E18" t="inlineStr">
        <is>
          <t>Story leve + gerar os posts da semana</t>
        </is>
      </c>
      <c r="F18" t="inlineStr">
        <is>
          <t>12</t>
        </is>
      </c>
      <c r="G18" s="5" t="n"/>
    </row>
    <row r="19">
      <c r="A19" t="n">
        <v>15</v>
      </c>
      <c r="B19" t="inlineStr">
        <is>
          <t>3 · Prova e avaliações</t>
        </is>
      </c>
      <c r="C19" t="inlineStr">
        <is>
          <t>Seg</t>
        </is>
      </c>
      <c r="D19" t="inlineStr">
        <is>
          <t>Atração</t>
        </is>
      </c>
      <c r="E19" t="inlineStr">
        <is>
          <t>Dica rápida de cuidado em casa</t>
        </is>
      </c>
      <c r="F19" t="inlineStr">
        <is>
          <t>6</t>
        </is>
      </c>
      <c r="G19" s="5" t="n"/>
    </row>
    <row r="20">
      <c r="A20" t="n">
        <v>16</v>
      </c>
      <c r="B20" t="inlineStr">
        <is>
          <t>3 · Prova e avaliações</t>
        </is>
      </c>
      <c r="C20" t="inlineStr">
        <is>
          <t>Ter</t>
        </is>
      </c>
      <c r="D20" t="inlineStr">
        <is>
          <t>Venda</t>
        </is>
      </c>
      <c r="E20" t="inlineStr">
        <is>
          <t>Horários livres da semana + link do WhatsApp</t>
        </is>
      </c>
      <c r="F20" t="inlineStr">
        <is>
          <t>15</t>
        </is>
      </c>
      <c r="G20" s="5" t="n"/>
    </row>
    <row r="21">
      <c r="A21" t="n">
        <v>17</v>
      </c>
      <c r="B21" t="inlineStr">
        <is>
          <t>3 · Prova e avaliações</t>
        </is>
      </c>
      <c r="C21" t="inlineStr">
        <is>
          <t>Qua</t>
        </is>
      </c>
      <c r="D21" t="inlineStr">
        <is>
          <t>Prova</t>
        </is>
      </c>
      <c r="E21" t="inlineStr">
        <is>
          <t>Antes e depois do carro-chefe</t>
        </is>
      </c>
      <c r="F21" t="inlineStr">
        <is>
          <t>7</t>
        </is>
      </c>
      <c r="G21" s="5" t="n"/>
    </row>
    <row r="22">
      <c r="A22" t="n">
        <v>18</v>
      </c>
      <c r="B22" t="inlineStr">
        <is>
          <t>3 · Prova e avaliações</t>
        </is>
      </c>
      <c r="C22" t="inlineStr">
        <is>
          <t>Qui</t>
        </is>
      </c>
      <c r="D22" t="inlineStr">
        <is>
          <t>Prova</t>
        </is>
      </c>
      <c r="E22" t="inlineStr">
        <is>
          <t>Depoimento de cliente</t>
        </is>
      </c>
      <c r="F22" t="inlineStr">
        <is>
          <t>11</t>
        </is>
      </c>
      <c r="G22" s="5" t="n"/>
    </row>
    <row r="23">
      <c r="A23" t="n">
        <v>19</v>
      </c>
      <c r="B23" t="inlineStr">
        <is>
          <t>3 · Prova e avaliações</t>
        </is>
      </c>
      <c r="C23" t="inlineStr">
        <is>
          <t>Sex</t>
        </is>
      </c>
      <c r="D23" t="inlineStr">
        <is>
          <t>Atração</t>
        </is>
      </c>
      <c r="E23" t="inlineStr">
        <is>
          <t>Reels de transformação</t>
        </is>
      </c>
      <c r="F23" t="inlineStr">
        <is>
          <t>9</t>
        </is>
      </c>
      <c r="G23" s="5" t="n"/>
    </row>
    <row r="24">
      <c r="A24" t="n">
        <v>20</v>
      </c>
      <c r="B24" t="inlineStr">
        <is>
          <t>3 · Prova e avaliações</t>
        </is>
      </c>
      <c r="C24" t="inlineStr">
        <is>
          <t>Sáb</t>
        </is>
      </c>
      <c r="D24" t="inlineStr">
        <is>
          <t>Conexão</t>
        </is>
      </c>
      <c r="E24" t="inlineStr">
        <is>
          <t>Bastidor: um dia no salão / equipe</t>
        </is>
      </c>
      <c r="F24" t="inlineStr">
        <is>
          <t>8</t>
        </is>
      </c>
      <c r="G24" s="5" t="n"/>
    </row>
    <row r="25">
      <c r="A25" t="n">
        <v>21</v>
      </c>
      <c r="B25" t="inlineStr">
        <is>
          <t>3 · Prova e avaliações</t>
        </is>
      </c>
      <c r="C25" t="inlineStr">
        <is>
          <t>Dom</t>
        </is>
      </c>
      <c r="D25" t="inlineStr">
        <is>
          <t>Descanso</t>
        </is>
      </c>
      <c r="E25" t="inlineStr">
        <is>
          <t>Story leve + gerar os posts da semana</t>
        </is>
      </c>
      <c r="F25" t="inlineStr">
        <is>
          <t>12</t>
        </is>
      </c>
      <c r="G25" s="5" t="n"/>
    </row>
    <row r="26">
      <c r="A26" t="n">
        <v>22</v>
      </c>
      <c r="B26" t="inlineStr">
        <is>
          <t>4 · Combos e próximo mês</t>
        </is>
      </c>
      <c r="C26" t="inlineStr">
        <is>
          <t>Seg</t>
        </is>
      </c>
      <c r="D26" t="inlineStr">
        <is>
          <t>Atração</t>
        </is>
      </c>
      <c r="E26" t="inlineStr">
        <is>
          <t>Dica rápida de cuidado em casa</t>
        </is>
      </c>
      <c r="F26" t="inlineStr">
        <is>
          <t>6</t>
        </is>
      </c>
      <c r="G26" s="5" t="n"/>
    </row>
    <row r="27">
      <c r="A27" t="n">
        <v>23</v>
      </c>
      <c r="B27" t="inlineStr">
        <is>
          <t>4 · Combos e próximo mês</t>
        </is>
      </c>
      <c r="C27" t="inlineStr">
        <is>
          <t>Ter</t>
        </is>
      </c>
      <c r="D27" t="inlineStr">
        <is>
          <t>Venda</t>
        </is>
      </c>
      <c r="E27" t="inlineStr">
        <is>
          <t>Horários livres da semana + link do WhatsApp</t>
        </is>
      </c>
      <c r="F27" t="inlineStr">
        <is>
          <t>15</t>
        </is>
      </c>
      <c r="G27" s="5" t="n"/>
    </row>
    <row r="28">
      <c r="A28" t="n">
        <v>24</v>
      </c>
      <c r="B28" t="inlineStr">
        <is>
          <t>4 · Combos e próximo mês</t>
        </is>
      </c>
      <c r="C28" t="inlineStr">
        <is>
          <t>Qua</t>
        </is>
      </c>
      <c r="D28" t="inlineStr">
        <is>
          <t>Prova</t>
        </is>
      </c>
      <c r="E28" t="inlineStr">
        <is>
          <t>Antes e depois do carro-chefe</t>
        </is>
      </c>
      <c r="F28" t="inlineStr">
        <is>
          <t>7</t>
        </is>
      </c>
      <c r="G28" s="5" t="n"/>
    </row>
    <row r="29">
      <c r="A29" t="n">
        <v>25</v>
      </c>
      <c r="B29" t="inlineStr">
        <is>
          <t>4 · Combos e próximo mês</t>
        </is>
      </c>
      <c r="C29" t="inlineStr">
        <is>
          <t>Qui</t>
        </is>
      </c>
      <c r="D29" t="inlineStr">
        <is>
          <t>Prova</t>
        </is>
      </c>
      <c r="E29" t="inlineStr">
        <is>
          <t>Depoimento de cliente</t>
        </is>
      </c>
      <c r="F29" t="inlineStr">
        <is>
          <t>11</t>
        </is>
      </c>
      <c r="G29" s="5" t="n"/>
    </row>
    <row r="30">
      <c r="A30" t="n">
        <v>26</v>
      </c>
      <c r="B30" t="inlineStr">
        <is>
          <t>4 · Combos e próximo mês</t>
        </is>
      </c>
      <c r="C30" t="inlineStr">
        <is>
          <t>Sex</t>
        </is>
      </c>
      <c r="D30" t="inlineStr">
        <is>
          <t>Atração</t>
        </is>
      </c>
      <c r="E30" t="inlineStr">
        <is>
          <t>Reels de transformação</t>
        </is>
      </c>
      <c r="F30" t="inlineStr">
        <is>
          <t>9</t>
        </is>
      </c>
      <c r="G30" s="5" t="n"/>
    </row>
    <row r="31">
      <c r="A31" t="n">
        <v>27</v>
      </c>
      <c r="B31" t="inlineStr">
        <is>
          <t>4 · Combos e próximo mês</t>
        </is>
      </c>
      <c r="C31" t="inlineStr">
        <is>
          <t>Sáb</t>
        </is>
      </c>
      <c r="D31" t="inlineStr">
        <is>
          <t>Conexão</t>
        </is>
      </c>
      <c r="E31" t="inlineStr">
        <is>
          <t>Bastidor: um dia no salão / equipe</t>
        </is>
      </c>
      <c r="F31" t="inlineStr">
        <is>
          <t>8</t>
        </is>
      </c>
      <c r="G31" s="5" t="n"/>
    </row>
    <row r="32">
      <c r="A32" t="n">
        <v>28</v>
      </c>
      <c r="B32" t="inlineStr">
        <is>
          <t>4 · Combos e próximo mês</t>
        </is>
      </c>
      <c r="C32" t="inlineStr">
        <is>
          <t>Dom</t>
        </is>
      </c>
      <c r="D32" t="inlineStr">
        <is>
          <t>Descanso</t>
        </is>
      </c>
      <c r="E32" t="inlineStr">
        <is>
          <t>Story leve + gerar os posts da semana</t>
        </is>
      </c>
      <c r="F32" t="inlineStr">
        <is>
          <t>12</t>
        </is>
      </c>
      <c r="G32" s="5" t="n"/>
    </row>
    <row r="33">
      <c r="A33" t="n">
        <v>29</v>
      </c>
      <c r="B33" t="inlineStr">
        <is>
          <t>5 · Revisão</t>
        </is>
      </c>
      <c r="C33" t="inlineStr">
        <is>
          <t>Seg</t>
        </is>
      </c>
      <c r="D33" t="inlineStr">
        <is>
          <t>Atração</t>
        </is>
      </c>
      <c r="E33" t="inlineStr">
        <is>
          <t>Dica rápida de cuidado em casa</t>
        </is>
      </c>
      <c r="F33" t="inlineStr">
        <is>
          <t>6</t>
        </is>
      </c>
      <c r="G33" s="5" t="n"/>
    </row>
    <row r="34">
      <c r="A34" t="n">
        <v>30</v>
      </c>
      <c r="B34" t="inlineStr">
        <is>
          <t>5 · Revisão</t>
        </is>
      </c>
      <c r="C34" t="inlineStr">
        <is>
          <t>Ter</t>
        </is>
      </c>
      <c r="D34" t="inlineStr">
        <is>
          <t>Venda</t>
        </is>
      </c>
      <c r="E34" t="inlineStr">
        <is>
          <t>Horários livres da semana + link do WhatsApp</t>
        </is>
      </c>
      <c r="F34" t="inlineStr">
        <is>
          <t>15</t>
        </is>
      </c>
      <c r="G34" s="5" t="n"/>
    </row>
  </sheetData>
  <conditionalFormatting sqref="A5:G34">
    <cfRule type="expression" priority="1" dxfId="0">
      <formula>$G5="Sim"</formula>
    </cfRule>
  </conditionalFormatting>
  <dataValidations count="1">
    <dataValidation sqref="G5 G6 G7 G8 G9 G10 G11 G12 G13 G14 G15 G16 G17 G18 G19 G20 G21 G22 G23 G24 G25 G26 G27 G28 G29 G30 G31 G32 G33 G3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46" customWidth="1" min="4" max="4"/>
    <col width="20" customWidth="1" min="5" max="5"/>
    <col width="30" customWidth="1" min="6" max="6"/>
    <col width="24" customWidth="1" min="7" max="7"/>
  </cols>
  <sheetData>
    <row r="1">
      <c r="A1" s="1" t="inlineStr">
        <is>
          <t>Campanhas do ano</t>
        </is>
      </c>
    </row>
    <row r="2">
      <c r="A2" s="2" t="inlineStr">
        <is>
          <t>Comece a divulgar 3 a 4 semanas antes. Use o Prompt 41 para montar cada campanha.</t>
        </is>
      </c>
    </row>
    <row r="4" ht="32" customHeight="1">
      <c r="A4" s="4" t="inlineStr">
        <is>
          <t>Mês</t>
        </is>
      </c>
      <c r="B4" s="4" t="inlineStr">
        <is>
          <t>Data / período</t>
        </is>
      </c>
      <c r="C4" s="4" t="inlineStr">
        <is>
          <t>Oportunidade</t>
        </is>
      </c>
      <c r="D4" s="4" t="inlineStr">
        <is>
          <t>Ideia de campanha</t>
        </is>
      </c>
      <c r="E4" s="4" t="inlineStr">
        <is>
          <t>Começar a divulgar em</t>
        </is>
      </c>
      <c r="F4" s="4" t="inlineStr">
        <is>
          <t>Minha oferta</t>
        </is>
      </c>
      <c r="G4" s="4" t="inlineStr">
        <is>
          <t>Resultado</t>
        </is>
      </c>
    </row>
    <row r="5">
      <c r="A5" t="inlineStr">
        <is>
          <t>Janeiro</t>
        </is>
      </c>
      <c r="B5" t="inlineStr">
        <is>
          <t>Todo o mês</t>
        </is>
      </c>
      <c r="C5" t="inlineStr">
        <is>
          <t>Verão e volta das festas</t>
        </is>
      </c>
      <c r="D5" t="inlineStr">
        <is>
          <t>Pacote de hidratação pós-praia</t>
        </is>
      </c>
      <c r="E5" s="5" t="n"/>
      <c r="F5" s="5" t="n"/>
      <c r="G5" s="5" t="n"/>
    </row>
    <row r="6">
      <c r="A6" t="inlineStr">
        <is>
          <t>Fevereiro</t>
        </is>
      </c>
      <c r="B6" t="inlineStr">
        <is>
          <t>Carnaval</t>
        </is>
      </c>
      <c r="C6" t="inlineStr">
        <is>
          <t>Carnaval</t>
        </is>
      </c>
      <c r="D6" t="inlineStr">
        <is>
          <t>Tranças, glitter, unhas coloridas, horário estendido</t>
        </is>
      </c>
      <c r="E6" s="5" t="n"/>
      <c r="F6" s="5" t="n"/>
      <c r="G6" s="5" t="n"/>
    </row>
    <row r="7">
      <c r="A7" t="inlineStr">
        <is>
          <t>Março</t>
        </is>
      </c>
      <c r="B7" t="inlineStr">
        <is>
          <t>08/03</t>
        </is>
      </c>
      <c r="C7" t="inlineStr">
        <is>
          <t>Dia da Mulher</t>
        </is>
      </c>
      <c r="D7" t="inlineStr">
        <is>
          <t>Dia de beleza para presentear, sorteio entre clientes</t>
        </is>
      </c>
      <c r="E7" s="5" t="n"/>
      <c r="F7" s="5" t="n"/>
      <c r="G7" s="5" t="n"/>
    </row>
    <row r="8">
      <c r="A8" t="inlineStr">
        <is>
          <t>Abril</t>
        </is>
      </c>
      <c r="B8" t="inlineStr">
        <is>
          <t>Páscoa</t>
        </is>
      </c>
      <c r="C8" t="inlineStr">
        <is>
          <t>Páscoa</t>
        </is>
      </c>
      <c r="D8" t="inlineStr">
        <is>
          <t>Mimo de chocolate no atendimento</t>
        </is>
      </c>
      <c r="E8" s="5" t="n"/>
      <c r="F8" s="5" t="n"/>
      <c r="G8" s="5" t="n"/>
    </row>
    <row r="9">
      <c r="A9" t="inlineStr">
        <is>
          <t>Maio</t>
        </is>
      </c>
      <c r="B9" t="inlineStr">
        <is>
          <t>2º domingo</t>
        </is>
      </c>
      <c r="C9" t="inlineStr">
        <is>
          <t>Dia das Mães</t>
        </is>
      </c>
      <c r="D9" t="inlineStr">
        <is>
          <t>Vale-presente e dia de mãe e filha</t>
        </is>
      </c>
      <c r="E9" s="5" t="n"/>
      <c r="F9" s="5" t="n"/>
      <c r="G9" s="5" t="n"/>
    </row>
    <row r="10">
      <c r="A10" t="inlineStr">
        <is>
          <t>Junho</t>
        </is>
      </c>
      <c r="B10" t="inlineStr">
        <is>
          <t>12/06</t>
        </is>
      </c>
      <c r="C10" t="inlineStr">
        <is>
          <t>Dia dos Namorados</t>
        </is>
      </c>
      <c r="D10" t="inlineStr">
        <is>
          <t>Combo pronta para o encontro</t>
        </is>
      </c>
      <c r="E10" s="5" t="n"/>
      <c r="F10" s="5" t="n"/>
      <c r="G10" s="5" t="n"/>
    </row>
    <row r="11">
      <c r="A11" t="inlineStr">
        <is>
          <t>Julho</t>
        </is>
      </c>
      <c r="B11" t="inlineStr">
        <is>
          <t>Férias</t>
        </is>
      </c>
      <c r="C11" t="inlineStr">
        <is>
          <t>Férias escolares</t>
        </is>
      </c>
      <c r="D11" t="inlineStr">
        <is>
          <t>Horários para mães, serviços infantis</t>
        </is>
      </c>
      <c r="E11" s="5" t="n"/>
      <c r="F11" s="5" t="n"/>
      <c r="G11" s="5" t="n"/>
    </row>
    <row r="12">
      <c r="A12" t="inlineStr">
        <is>
          <t>Agosto</t>
        </is>
      </c>
      <c r="B12" t="inlineStr">
        <is>
          <t>2º domingo</t>
        </is>
      </c>
      <c r="C12" t="inlineStr">
        <is>
          <t>Dia dos Pais</t>
        </is>
      </c>
      <c r="D12" t="inlineStr">
        <is>
          <t>Corte e barba, vale-presente</t>
        </is>
      </c>
      <c r="E12" s="5" t="n"/>
      <c r="F12" s="5" t="n"/>
      <c r="G12" s="5" t="n"/>
    </row>
    <row r="13">
      <c r="A13" t="inlineStr">
        <is>
          <t>Setembro</t>
        </is>
      </c>
      <c r="B13" t="inlineStr">
        <is>
          <t>15/09</t>
        </is>
      </c>
      <c r="C13" t="inlineStr">
        <is>
          <t>Dia do Cliente</t>
        </is>
      </c>
      <c r="D13" t="inlineStr">
        <is>
          <t>Agradecimento às clientes fiéis</t>
        </is>
      </c>
      <c r="E13" s="5" t="n"/>
      <c r="F13" s="5" t="n"/>
      <c r="G13" s="5" t="n"/>
    </row>
    <row r="14">
      <c r="A14" t="inlineStr">
        <is>
          <t>Outubro</t>
        </is>
      </c>
      <c r="B14" t="inlineStr">
        <is>
          <t>Todo o mês</t>
        </is>
      </c>
      <c r="C14" t="inlineStr">
        <is>
          <t>Outubro Rosa / lista VIP Black Friday</t>
        </is>
      </c>
      <c r="D14" t="inlineStr">
        <is>
          <t>Ação solidária e abertura da lista VIP</t>
        </is>
      </c>
      <c r="E14" s="5" t="n"/>
      <c r="F14" s="5" t="n"/>
      <c r="G14" s="5" t="n"/>
    </row>
    <row r="15">
      <c r="A15" t="inlineStr">
        <is>
          <t>Novembro</t>
        </is>
      </c>
      <c r="B15" t="inlineStr">
        <is>
          <t>Última sexta</t>
        </is>
      </c>
      <c r="C15" t="inlineStr">
        <is>
          <t>Black Friday</t>
        </is>
      </c>
      <c r="D15" t="inlineStr">
        <is>
          <t>Combos e vale-presente com bônus (Prompt 42)</t>
        </is>
      </c>
      <c r="E15" s="5" t="n"/>
      <c r="F15" s="5" t="n"/>
      <c r="G15" s="5" t="n"/>
    </row>
    <row r="16">
      <c r="A16" t="inlineStr">
        <is>
          <t>Dezembro</t>
        </is>
      </c>
      <c r="B16" t="inlineStr">
        <is>
          <t>Festas</t>
        </is>
      </c>
      <c r="C16" t="inlineStr">
        <is>
          <t>Natal, Réveillon, formaturas</t>
        </is>
      </c>
      <c r="D16" t="inlineStr">
        <is>
          <t>Agenda antecipada e pacote das festas</t>
        </is>
      </c>
      <c r="E16" s="5" t="n"/>
      <c r="F16" s="5" t="n"/>
      <c r="G1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3" customWidth="1" min="8" max="8"/>
    <col width="10" customWidth="1" min="9" max="9"/>
    <col width="16" customWidth="1" min="10" max="10"/>
    <col width="3" customWidth="1" min="11" max="11"/>
    <col width="22" customWidth="1" min="12" max="12"/>
    <col width="14" customWidth="1" min="13" max="13"/>
  </cols>
  <sheetData>
    <row r="1">
      <c r="A1" s="1" t="inlineStr">
        <is>
          <t>Vale-presentes e pacotes vendidos</t>
        </is>
      </c>
    </row>
    <row r="2">
      <c r="A2" s="2" t="inlineStr">
        <is>
          <t>A validade é calculada sozinha (90 dias). Mude o prazo na célula H2.</t>
        </is>
      </c>
      <c r="G2" t="inlineStr">
        <is>
          <t>Validade (dias):</t>
        </is>
      </c>
      <c r="H2" s="14" t="n">
        <v>90</v>
      </c>
    </row>
    <row r="4" ht="32" customHeight="1">
      <c r="A4" s="4" t="inlineStr">
        <is>
          <t>Código</t>
        </is>
      </c>
      <c r="B4" s="4" t="inlineStr">
        <is>
          <t>Tipo</t>
        </is>
      </c>
      <c r="C4" s="4" t="inlineStr">
        <is>
          <t>Comprador(a)</t>
        </is>
      </c>
      <c r="D4" s="4" t="inlineStr">
        <is>
          <t>Para quem</t>
        </is>
      </c>
      <c r="E4" s="4" t="inlineStr">
        <is>
          <t>Valor pago</t>
        </is>
      </c>
      <c r="F4" s="4" t="inlineStr">
        <is>
          <t>Valor de uso</t>
        </is>
      </c>
      <c r="G4" s="4" t="inlineStr">
        <is>
          <t>Data da venda</t>
        </is>
      </c>
      <c r="H4" s="4" t="inlineStr">
        <is>
          <t>Válido até</t>
        </is>
      </c>
      <c r="I4" s="4" t="inlineStr">
        <is>
          <t>Já usado?</t>
        </is>
      </c>
      <c r="J4" s="4" t="inlineStr">
        <is>
          <t>Situação</t>
        </is>
      </c>
      <c r="L4" t="inlineStr">
        <is>
          <t>Total vendido</t>
        </is>
      </c>
      <c r="M4" s="16">
        <f>SUM(E5:E104)</f>
        <v/>
      </c>
    </row>
    <row r="5">
      <c r="A5" s="8">
        <f>IF(C5="","","V"&amp;TEXT(ROW()-4,"000"))</f>
        <v/>
      </c>
      <c r="B5" s="5" t="n"/>
      <c r="C5" s="5" t="n"/>
      <c r="D5" s="5" t="n"/>
      <c r="E5" s="13" t="n"/>
      <c r="F5" s="13" t="n"/>
      <c r="G5" s="7" t="n"/>
      <c r="H5" s="9">
        <f>IF(G5="","",G5+$H$2)</f>
        <v/>
      </c>
      <c r="I5" s="5" t="n"/>
      <c r="J5" s="11">
        <f>IF(G5="","",IF(I5="Sim","Usado",IF(TODAY()&gt;H5,"Vencido",IF(H5-TODAY()&lt;=15,"Vence em breve","Ativo"))))</f>
        <v/>
      </c>
      <c r="L5" t="inlineStr">
        <is>
          <t>Ativos (valor de uso)</t>
        </is>
      </c>
      <c r="M5" s="16">
        <f>SUMIF(J5:J104,"Ativo",F5:F104)+SUMIF(J5:J104,"Vence em breve",F5:F104)</f>
        <v/>
      </c>
    </row>
    <row r="6">
      <c r="A6" s="8">
        <f>IF(C6="","","V"&amp;TEXT(ROW()-4,"000"))</f>
        <v/>
      </c>
      <c r="B6" s="5" t="n"/>
      <c r="C6" s="5" t="n"/>
      <c r="D6" s="5" t="n"/>
      <c r="E6" s="13" t="n"/>
      <c r="F6" s="13" t="n"/>
      <c r="G6" s="7" t="n"/>
      <c r="H6" s="9">
        <f>IF(G6="","",G6+$H$2)</f>
        <v/>
      </c>
      <c r="I6" s="5" t="n"/>
      <c r="J6" s="11">
        <f>IF(G6="","",IF(I6="Sim","Usado",IF(TODAY()&gt;H6,"Vencido",IF(H6-TODAY()&lt;=15,"Vence em breve","Ativo"))))</f>
        <v/>
      </c>
      <c r="L6" t="inlineStr">
        <is>
          <t>Vencem em breve</t>
        </is>
      </c>
      <c r="M6" s="21">
        <f>COUNTIF(J5:J104,"Vence em breve")</f>
        <v/>
      </c>
    </row>
    <row r="7">
      <c r="A7" s="8">
        <f>IF(C7="","","V"&amp;TEXT(ROW()-4,"000"))</f>
        <v/>
      </c>
      <c r="B7" s="5" t="n"/>
      <c r="C7" s="5" t="n"/>
      <c r="D7" s="5" t="n"/>
      <c r="E7" s="13" t="n"/>
      <c r="F7" s="13" t="n"/>
      <c r="G7" s="7" t="n"/>
      <c r="H7" s="9">
        <f>IF(G7="","",G7+$H$2)</f>
        <v/>
      </c>
      <c r="I7" s="5" t="n"/>
      <c r="J7" s="11">
        <f>IF(G7="","",IF(I7="Sim","Usado",IF(TODAY()&gt;H7,"Vencido",IF(H7-TODAY()&lt;=15,"Vence em breve","Ativo"))))</f>
        <v/>
      </c>
    </row>
    <row r="8">
      <c r="A8" s="8">
        <f>IF(C8="","","V"&amp;TEXT(ROW()-4,"000"))</f>
        <v/>
      </c>
      <c r="B8" s="5" t="n"/>
      <c r="C8" s="5" t="n"/>
      <c r="D8" s="5" t="n"/>
      <c r="E8" s="13" t="n"/>
      <c r="F8" s="13" t="n"/>
      <c r="G8" s="7" t="n"/>
      <c r="H8" s="9">
        <f>IF(G8="","",G8+$H$2)</f>
        <v/>
      </c>
      <c r="I8" s="5" t="n"/>
      <c r="J8" s="11">
        <f>IF(G8="","",IF(I8="Sim","Usado",IF(TODAY()&gt;H8,"Vencido",IF(H8-TODAY()&lt;=15,"Vence em breve","Ativo"))))</f>
        <v/>
      </c>
    </row>
    <row r="9">
      <c r="A9" s="8">
        <f>IF(C9="","","V"&amp;TEXT(ROW()-4,"000"))</f>
        <v/>
      </c>
      <c r="B9" s="5" t="n"/>
      <c r="C9" s="5" t="n"/>
      <c r="D9" s="5" t="n"/>
      <c r="E9" s="13" t="n"/>
      <c r="F9" s="13" t="n"/>
      <c r="G9" s="7" t="n"/>
      <c r="H9" s="9">
        <f>IF(G9="","",G9+$H$2)</f>
        <v/>
      </c>
      <c r="I9" s="5" t="n"/>
      <c r="J9" s="11">
        <f>IF(G9="","",IF(I9="Sim","Usado",IF(TODAY()&gt;H9,"Vencido",IF(H9-TODAY()&lt;=15,"Vence em breve","Ativo"))))</f>
        <v/>
      </c>
    </row>
    <row r="10">
      <c r="A10" s="8">
        <f>IF(C10="","","V"&amp;TEXT(ROW()-4,"000"))</f>
        <v/>
      </c>
      <c r="B10" s="5" t="n"/>
      <c r="C10" s="5" t="n"/>
      <c r="D10" s="5" t="n"/>
      <c r="E10" s="13" t="n"/>
      <c r="F10" s="13" t="n"/>
      <c r="G10" s="7" t="n"/>
      <c r="H10" s="9">
        <f>IF(G10="","",G10+$H$2)</f>
        <v/>
      </c>
      <c r="I10" s="5" t="n"/>
      <c r="J10" s="11">
        <f>IF(G10="","",IF(I10="Sim","Usado",IF(TODAY()&gt;H10,"Vencido",IF(H10-TODAY()&lt;=15,"Vence em breve","Ativo"))))</f>
        <v/>
      </c>
    </row>
    <row r="11">
      <c r="A11" s="8">
        <f>IF(C11="","","V"&amp;TEXT(ROW()-4,"000"))</f>
        <v/>
      </c>
      <c r="B11" s="5" t="n"/>
      <c r="C11" s="5" t="n"/>
      <c r="D11" s="5" t="n"/>
      <c r="E11" s="13" t="n"/>
      <c r="F11" s="13" t="n"/>
      <c r="G11" s="7" t="n"/>
      <c r="H11" s="9">
        <f>IF(G11="","",G11+$H$2)</f>
        <v/>
      </c>
      <c r="I11" s="5" t="n"/>
      <c r="J11" s="11">
        <f>IF(G11="","",IF(I11="Sim","Usado",IF(TODAY()&gt;H11,"Vencido",IF(H11-TODAY()&lt;=15,"Vence em breve","Ativo"))))</f>
        <v/>
      </c>
    </row>
    <row r="12">
      <c r="A12" s="8">
        <f>IF(C12="","","V"&amp;TEXT(ROW()-4,"000"))</f>
        <v/>
      </c>
      <c r="B12" s="5" t="n"/>
      <c r="C12" s="5" t="n"/>
      <c r="D12" s="5" t="n"/>
      <c r="E12" s="13" t="n"/>
      <c r="F12" s="13" t="n"/>
      <c r="G12" s="7" t="n"/>
      <c r="H12" s="9">
        <f>IF(G12="","",G12+$H$2)</f>
        <v/>
      </c>
      <c r="I12" s="5" t="n"/>
      <c r="J12" s="11">
        <f>IF(G12="","",IF(I12="Sim","Usado",IF(TODAY()&gt;H12,"Vencido",IF(H12-TODAY()&lt;=15,"Vence em breve","Ativo"))))</f>
        <v/>
      </c>
    </row>
    <row r="13">
      <c r="A13" s="8">
        <f>IF(C13="","","V"&amp;TEXT(ROW()-4,"000"))</f>
        <v/>
      </c>
      <c r="B13" s="5" t="n"/>
      <c r="C13" s="5" t="n"/>
      <c r="D13" s="5" t="n"/>
      <c r="E13" s="13" t="n"/>
      <c r="F13" s="13" t="n"/>
      <c r="G13" s="7" t="n"/>
      <c r="H13" s="9">
        <f>IF(G13="","",G13+$H$2)</f>
        <v/>
      </c>
      <c r="I13" s="5" t="n"/>
      <c r="J13" s="11">
        <f>IF(G13="","",IF(I13="Sim","Usado",IF(TODAY()&gt;H13,"Vencido",IF(H13-TODAY()&lt;=15,"Vence em breve","Ativo"))))</f>
        <v/>
      </c>
    </row>
    <row r="14">
      <c r="A14" s="8">
        <f>IF(C14="","","V"&amp;TEXT(ROW()-4,"000"))</f>
        <v/>
      </c>
      <c r="B14" s="5" t="n"/>
      <c r="C14" s="5" t="n"/>
      <c r="D14" s="5" t="n"/>
      <c r="E14" s="13" t="n"/>
      <c r="F14" s="13" t="n"/>
      <c r="G14" s="7" t="n"/>
      <c r="H14" s="9">
        <f>IF(G14="","",G14+$H$2)</f>
        <v/>
      </c>
      <c r="I14" s="5" t="n"/>
      <c r="J14" s="11">
        <f>IF(G14="","",IF(I14="Sim","Usado",IF(TODAY()&gt;H14,"Vencido",IF(H14-TODAY()&lt;=15,"Vence em breve","Ativo"))))</f>
        <v/>
      </c>
    </row>
    <row r="15">
      <c r="A15" s="8">
        <f>IF(C15="","","V"&amp;TEXT(ROW()-4,"000"))</f>
        <v/>
      </c>
      <c r="B15" s="5" t="n"/>
      <c r="C15" s="5" t="n"/>
      <c r="D15" s="5" t="n"/>
      <c r="E15" s="13" t="n"/>
      <c r="F15" s="13" t="n"/>
      <c r="G15" s="7" t="n"/>
      <c r="H15" s="9">
        <f>IF(G15="","",G15+$H$2)</f>
        <v/>
      </c>
      <c r="I15" s="5" t="n"/>
      <c r="J15" s="11">
        <f>IF(G15="","",IF(I15="Sim","Usado",IF(TODAY()&gt;H15,"Vencido",IF(H15-TODAY()&lt;=15,"Vence em breve","Ativo"))))</f>
        <v/>
      </c>
    </row>
    <row r="16">
      <c r="A16" s="8">
        <f>IF(C16="","","V"&amp;TEXT(ROW()-4,"000"))</f>
        <v/>
      </c>
      <c r="B16" s="5" t="n"/>
      <c r="C16" s="5" t="n"/>
      <c r="D16" s="5" t="n"/>
      <c r="E16" s="13" t="n"/>
      <c r="F16" s="13" t="n"/>
      <c r="G16" s="7" t="n"/>
      <c r="H16" s="9">
        <f>IF(G16="","",G16+$H$2)</f>
        <v/>
      </c>
      <c r="I16" s="5" t="n"/>
      <c r="J16" s="11">
        <f>IF(G16="","",IF(I16="Sim","Usado",IF(TODAY()&gt;H16,"Vencido",IF(H16-TODAY()&lt;=15,"Vence em breve","Ativo"))))</f>
        <v/>
      </c>
    </row>
    <row r="17">
      <c r="A17" s="8">
        <f>IF(C17="","","V"&amp;TEXT(ROW()-4,"000"))</f>
        <v/>
      </c>
      <c r="B17" s="5" t="n"/>
      <c r="C17" s="5" t="n"/>
      <c r="D17" s="5" t="n"/>
      <c r="E17" s="13" t="n"/>
      <c r="F17" s="13" t="n"/>
      <c r="G17" s="7" t="n"/>
      <c r="H17" s="9">
        <f>IF(G17="","",G17+$H$2)</f>
        <v/>
      </c>
      <c r="I17" s="5" t="n"/>
      <c r="J17" s="11">
        <f>IF(G17="","",IF(I17="Sim","Usado",IF(TODAY()&gt;H17,"Vencido",IF(H17-TODAY()&lt;=15,"Vence em breve","Ativo"))))</f>
        <v/>
      </c>
    </row>
    <row r="18">
      <c r="A18" s="8">
        <f>IF(C18="","","V"&amp;TEXT(ROW()-4,"000"))</f>
        <v/>
      </c>
      <c r="B18" s="5" t="n"/>
      <c r="C18" s="5" t="n"/>
      <c r="D18" s="5" t="n"/>
      <c r="E18" s="13" t="n"/>
      <c r="F18" s="13" t="n"/>
      <c r="G18" s="7" t="n"/>
      <c r="H18" s="9">
        <f>IF(G18="","",G18+$H$2)</f>
        <v/>
      </c>
      <c r="I18" s="5" t="n"/>
      <c r="J18" s="11">
        <f>IF(G18="","",IF(I18="Sim","Usado",IF(TODAY()&gt;H18,"Vencido",IF(H18-TODAY()&lt;=15,"Vence em breve","Ativo"))))</f>
        <v/>
      </c>
    </row>
    <row r="19">
      <c r="A19" s="8">
        <f>IF(C19="","","V"&amp;TEXT(ROW()-4,"000"))</f>
        <v/>
      </c>
      <c r="B19" s="5" t="n"/>
      <c r="C19" s="5" t="n"/>
      <c r="D19" s="5" t="n"/>
      <c r="E19" s="13" t="n"/>
      <c r="F19" s="13" t="n"/>
      <c r="G19" s="7" t="n"/>
      <c r="H19" s="9">
        <f>IF(G19="","",G19+$H$2)</f>
        <v/>
      </c>
      <c r="I19" s="5" t="n"/>
      <c r="J19" s="11">
        <f>IF(G19="","",IF(I19="Sim","Usado",IF(TODAY()&gt;H19,"Vencido",IF(H19-TODAY()&lt;=15,"Vence em breve","Ativo"))))</f>
        <v/>
      </c>
    </row>
    <row r="20">
      <c r="A20" s="8">
        <f>IF(C20="","","V"&amp;TEXT(ROW()-4,"000"))</f>
        <v/>
      </c>
      <c r="B20" s="5" t="n"/>
      <c r="C20" s="5" t="n"/>
      <c r="D20" s="5" t="n"/>
      <c r="E20" s="13" t="n"/>
      <c r="F20" s="13" t="n"/>
      <c r="G20" s="7" t="n"/>
      <c r="H20" s="9">
        <f>IF(G20="","",G20+$H$2)</f>
        <v/>
      </c>
      <c r="I20" s="5" t="n"/>
      <c r="J20" s="11">
        <f>IF(G20="","",IF(I20="Sim","Usado",IF(TODAY()&gt;H20,"Vencido",IF(H20-TODAY()&lt;=15,"Vence em breve","Ativo"))))</f>
        <v/>
      </c>
    </row>
    <row r="21">
      <c r="A21" s="8">
        <f>IF(C21="","","V"&amp;TEXT(ROW()-4,"000"))</f>
        <v/>
      </c>
      <c r="B21" s="5" t="n"/>
      <c r="C21" s="5" t="n"/>
      <c r="D21" s="5" t="n"/>
      <c r="E21" s="13" t="n"/>
      <c r="F21" s="13" t="n"/>
      <c r="G21" s="7" t="n"/>
      <c r="H21" s="9">
        <f>IF(G21="","",G21+$H$2)</f>
        <v/>
      </c>
      <c r="I21" s="5" t="n"/>
      <c r="J21" s="11">
        <f>IF(G21="","",IF(I21="Sim","Usado",IF(TODAY()&gt;H21,"Vencido",IF(H21-TODAY()&lt;=15,"Vence em breve","Ativo"))))</f>
        <v/>
      </c>
    </row>
    <row r="22">
      <c r="A22" s="8">
        <f>IF(C22="","","V"&amp;TEXT(ROW()-4,"000"))</f>
        <v/>
      </c>
      <c r="B22" s="5" t="n"/>
      <c r="C22" s="5" t="n"/>
      <c r="D22" s="5" t="n"/>
      <c r="E22" s="13" t="n"/>
      <c r="F22" s="13" t="n"/>
      <c r="G22" s="7" t="n"/>
      <c r="H22" s="9">
        <f>IF(G22="","",G22+$H$2)</f>
        <v/>
      </c>
      <c r="I22" s="5" t="n"/>
      <c r="J22" s="11">
        <f>IF(G22="","",IF(I22="Sim","Usado",IF(TODAY()&gt;H22,"Vencido",IF(H22-TODAY()&lt;=15,"Vence em breve","Ativo"))))</f>
        <v/>
      </c>
    </row>
    <row r="23">
      <c r="A23" s="8">
        <f>IF(C23="","","V"&amp;TEXT(ROW()-4,"000"))</f>
        <v/>
      </c>
      <c r="B23" s="5" t="n"/>
      <c r="C23" s="5" t="n"/>
      <c r="D23" s="5" t="n"/>
      <c r="E23" s="13" t="n"/>
      <c r="F23" s="13" t="n"/>
      <c r="G23" s="7" t="n"/>
      <c r="H23" s="9">
        <f>IF(G23="","",G23+$H$2)</f>
        <v/>
      </c>
      <c r="I23" s="5" t="n"/>
      <c r="J23" s="11">
        <f>IF(G23="","",IF(I23="Sim","Usado",IF(TODAY()&gt;H23,"Vencido",IF(H23-TODAY()&lt;=15,"Vence em breve","Ativo"))))</f>
        <v/>
      </c>
    </row>
    <row r="24">
      <c r="A24" s="8">
        <f>IF(C24="","","V"&amp;TEXT(ROW()-4,"000"))</f>
        <v/>
      </c>
      <c r="B24" s="5" t="n"/>
      <c r="C24" s="5" t="n"/>
      <c r="D24" s="5" t="n"/>
      <c r="E24" s="13" t="n"/>
      <c r="F24" s="13" t="n"/>
      <c r="G24" s="7" t="n"/>
      <c r="H24" s="9">
        <f>IF(G24="","",G24+$H$2)</f>
        <v/>
      </c>
      <c r="I24" s="5" t="n"/>
      <c r="J24" s="11">
        <f>IF(G24="","",IF(I24="Sim","Usado",IF(TODAY()&gt;H24,"Vencido",IF(H24-TODAY()&lt;=15,"Vence em breve","Ativo"))))</f>
        <v/>
      </c>
    </row>
    <row r="25">
      <c r="A25" s="8">
        <f>IF(C25="","","V"&amp;TEXT(ROW()-4,"000"))</f>
        <v/>
      </c>
      <c r="B25" s="5" t="n"/>
      <c r="C25" s="5" t="n"/>
      <c r="D25" s="5" t="n"/>
      <c r="E25" s="13" t="n"/>
      <c r="F25" s="13" t="n"/>
      <c r="G25" s="7" t="n"/>
      <c r="H25" s="9">
        <f>IF(G25="","",G25+$H$2)</f>
        <v/>
      </c>
      <c r="I25" s="5" t="n"/>
      <c r="J25" s="11">
        <f>IF(G25="","",IF(I25="Sim","Usado",IF(TODAY()&gt;H25,"Vencido",IF(H25-TODAY()&lt;=15,"Vence em breve","Ativo"))))</f>
        <v/>
      </c>
    </row>
    <row r="26">
      <c r="A26" s="8">
        <f>IF(C26="","","V"&amp;TEXT(ROW()-4,"000"))</f>
        <v/>
      </c>
      <c r="B26" s="5" t="n"/>
      <c r="C26" s="5" t="n"/>
      <c r="D26" s="5" t="n"/>
      <c r="E26" s="13" t="n"/>
      <c r="F26" s="13" t="n"/>
      <c r="G26" s="7" t="n"/>
      <c r="H26" s="9">
        <f>IF(G26="","",G26+$H$2)</f>
        <v/>
      </c>
      <c r="I26" s="5" t="n"/>
      <c r="J26" s="11">
        <f>IF(G26="","",IF(I26="Sim","Usado",IF(TODAY()&gt;H26,"Vencido",IF(H26-TODAY()&lt;=15,"Vence em breve","Ativo"))))</f>
        <v/>
      </c>
    </row>
    <row r="27">
      <c r="A27" s="8">
        <f>IF(C27="","","V"&amp;TEXT(ROW()-4,"000"))</f>
        <v/>
      </c>
      <c r="B27" s="5" t="n"/>
      <c r="C27" s="5" t="n"/>
      <c r="D27" s="5" t="n"/>
      <c r="E27" s="13" t="n"/>
      <c r="F27" s="13" t="n"/>
      <c r="G27" s="7" t="n"/>
      <c r="H27" s="9">
        <f>IF(G27="","",G27+$H$2)</f>
        <v/>
      </c>
      <c r="I27" s="5" t="n"/>
      <c r="J27" s="11">
        <f>IF(G27="","",IF(I27="Sim","Usado",IF(TODAY()&gt;H27,"Vencido",IF(H27-TODAY()&lt;=15,"Vence em breve","Ativo"))))</f>
        <v/>
      </c>
    </row>
    <row r="28">
      <c r="A28" s="8">
        <f>IF(C28="","","V"&amp;TEXT(ROW()-4,"000"))</f>
        <v/>
      </c>
      <c r="B28" s="5" t="n"/>
      <c r="C28" s="5" t="n"/>
      <c r="D28" s="5" t="n"/>
      <c r="E28" s="13" t="n"/>
      <c r="F28" s="13" t="n"/>
      <c r="G28" s="7" t="n"/>
      <c r="H28" s="9">
        <f>IF(G28="","",G28+$H$2)</f>
        <v/>
      </c>
      <c r="I28" s="5" t="n"/>
      <c r="J28" s="11">
        <f>IF(G28="","",IF(I28="Sim","Usado",IF(TODAY()&gt;H28,"Vencido",IF(H28-TODAY()&lt;=15,"Vence em breve","Ativo"))))</f>
        <v/>
      </c>
    </row>
    <row r="29">
      <c r="A29" s="8">
        <f>IF(C29="","","V"&amp;TEXT(ROW()-4,"000"))</f>
        <v/>
      </c>
      <c r="B29" s="5" t="n"/>
      <c r="C29" s="5" t="n"/>
      <c r="D29" s="5" t="n"/>
      <c r="E29" s="13" t="n"/>
      <c r="F29" s="13" t="n"/>
      <c r="G29" s="7" t="n"/>
      <c r="H29" s="9">
        <f>IF(G29="","",G29+$H$2)</f>
        <v/>
      </c>
      <c r="I29" s="5" t="n"/>
      <c r="J29" s="11">
        <f>IF(G29="","",IF(I29="Sim","Usado",IF(TODAY()&gt;H29,"Vencido",IF(H29-TODAY()&lt;=15,"Vence em breve","Ativo"))))</f>
        <v/>
      </c>
    </row>
    <row r="30">
      <c r="A30" s="8">
        <f>IF(C30="","","V"&amp;TEXT(ROW()-4,"000"))</f>
        <v/>
      </c>
      <c r="B30" s="5" t="n"/>
      <c r="C30" s="5" t="n"/>
      <c r="D30" s="5" t="n"/>
      <c r="E30" s="13" t="n"/>
      <c r="F30" s="13" t="n"/>
      <c r="G30" s="7" t="n"/>
      <c r="H30" s="9">
        <f>IF(G30="","",G30+$H$2)</f>
        <v/>
      </c>
      <c r="I30" s="5" t="n"/>
      <c r="J30" s="11">
        <f>IF(G30="","",IF(I30="Sim","Usado",IF(TODAY()&gt;H30,"Vencido",IF(H30-TODAY()&lt;=15,"Vence em breve","Ativo"))))</f>
        <v/>
      </c>
    </row>
    <row r="31">
      <c r="A31" s="8">
        <f>IF(C31="","","V"&amp;TEXT(ROW()-4,"000"))</f>
        <v/>
      </c>
      <c r="B31" s="5" t="n"/>
      <c r="C31" s="5" t="n"/>
      <c r="D31" s="5" t="n"/>
      <c r="E31" s="13" t="n"/>
      <c r="F31" s="13" t="n"/>
      <c r="G31" s="7" t="n"/>
      <c r="H31" s="9">
        <f>IF(G31="","",G31+$H$2)</f>
        <v/>
      </c>
      <c r="I31" s="5" t="n"/>
      <c r="J31" s="11">
        <f>IF(G31="","",IF(I31="Sim","Usado",IF(TODAY()&gt;H31,"Vencido",IF(H31-TODAY()&lt;=15,"Vence em breve","Ativo"))))</f>
        <v/>
      </c>
    </row>
    <row r="32">
      <c r="A32" s="8">
        <f>IF(C32="","","V"&amp;TEXT(ROW()-4,"000"))</f>
        <v/>
      </c>
      <c r="B32" s="5" t="n"/>
      <c r="C32" s="5" t="n"/>
      <c r="D32" s="5" t="n"/>
      <c r="E32" s="13" t="n"/>
      <c r="F32" s="13" t="n"/>
      <c r="G32" s="7" t="n"/>
      <c r="H32" s="9">
        <f>IF(G32="","",G32+$H$2)</f>
        <v/>
      </c>
      <c r="I32" s="5" t="n"/>
      <c r="J32" s="11">
        <f>IF(G32="","",IF(I32="Sim","Usado",IF(TODAY()&gt;H32,"Vencido",IF(H32-TODAY()&lt;=15,"Vence em breve","Ativo"))))</f>
        <v/>
      </c>
    </row>
    <row r="33">
      <c r="A33" s="8">
        <f>IF(C33="","","V"&amp;TEXT(ROW()-4,"000"))</f>
        <v/>
      </c>
      <c r="B33" s="5" t="n"/>
      <c r="C33" s="5" t="n"/>
      <c r="D33" s="5" t="n"/>
      <c r="E33" s="13" t="n"/>
      <c r="F33" s="13" t="n"/>
      <c r="G33" s="7" t="n"/>
      <c r="H33" s="9">
        <f>IF(G33="","",G33+$H$2)</f>
        <v/>
      </c>
      <c r="I33" s="5" t="n"/>
      <c r="J33" s="11">
        <f>IF(G33="","",IF(I33="Sim","Usado",IF(TODAY()&gt;H33,"Vencido",IF(H33-TODAY()&lt;=15,"Vence em breve","Ativo"))))</f>
        <v/>
      </c>
    </row>
    <row r="34">
      <c r="A34" s="8">
        <f>IF(C34="","","V"&amp;TEXT(ROW()-4,"000"))</f>
        <v/>
      </c>
      <c r="B34" s="5" t="n"/>
      <c r="C34" s="5" t="n"/>
      <c r="D34" s="5" t="n"/>
      <c r="E34" s="13" t="n"/>
      <c r="F34" s="13" t="n"/>
      <c r="G34" s="7" t="n"/>
      <c r="H34" s="9">
        <f>IF(G34="","",G34+$H$2)</f>
        <v/>
      </c>
      <c r="I34" s="5" t="n"/>
      <c r="J34" s="11">
        <f>IF(G34="","",IF(I34="Sim","Usado",IF(TODAY()&gt;H34,"Vencido",IF(H34-TODAY()&lt;=15,"Vence em breve","Ativo"))))</f>
        <v/>
      </c>
    </row>
    <row r="35">
      <c r="A35" s="8">
        <f>IF(C35="","","V"&amp;TEXT(ROW()-4,"000"))</f>
        <v/>
      </c>
      <c r="B35" s="5" t="n"/>
      <c r="C35" s="5" t="n"/>
      <c r="D35" s="5" t="n"/>
      <c r="E35" s="13" t="n"/>
      <c r="F35" s="13" t="n"/>
      <c r="G35" s="7" t="n"/>
      <c r="H35" s="9">
        <f>IF(G35="","",G35+$H$2)</f>
        <v/>
      </c>
      <c r="I35" s="5" t="n"/>
      <c r="J35" s="11">
        <f>IF(G35="","",IF(I35="Sim","Usado",IF(TODAY()&gt;H35,"Vencido",IF(H35-TODAY()&lt;=15,"Vence em breve","Ativo"))))</f>
        <v/>
      </c>
    </row>
    <row r="36">
      <c r="A36" s="8">
        <f>IF(C36="","","V"&amp;TEXT(ROW()-4,"000"))</f>
        <v/>
      </c>
      <c r="B36" s="5" t="n"/>
      <c r="C36" s="5" t="n"/>
      <c r="D36" s="5" t="n"/>
      <c r="E36" s="13" t="n"/>
      <c r="F36" s="13" t="n"/>
      <c r="G36" s="7" t="n"/>
      <c r="H36" s="9">
        <f>IF(G36="","",G36+$H$2)</f>
        <v/>
      </c>
      <c r="I36" s="5" t="n"/>
      <c r="J36" s="11">
        <f>IF(G36="","",IF(I36="Sim","Usado",IF(TODAY()&gt;H36,"Vencido",IF(H36-TODAY()&lt;=15,"Vence em breve","Ativo"))))</f>
        <v/>
      </c>
    </row>
    <row r="37">
      <c r="A37" s="8">
        <f>IF(C37="","","V"&amp;TEXT(ROW()-4,"000"))</f>
        <v/>
      </c>
      <c r="B37" s="5" t="n"/>
      <c r="C37" s="5" t="n"/>
      <c r="D37" s="5" t="n"/>
      <c r="E37" s="13" t="n"/>
      <c r="F37" s="13" t="n"/>
      <c r="G37" s="7" t="n"/>
      <c r="H37" s="9">
        <f>IF(G37="","",G37+$H$2)</f>
        <v/>
      </c>
      <c r="I37" s="5" t="n"/>
      <c r="J37" s="11">
        <f>IF(G37="","",IF(I37="Sim","Usado",IF(TODAY()&gt;H37,"Vencido",IF(H37-TODAY()&lt;=15,"Vence em breve","Ativo"))))</f>
        <v/>
      </c>
    </row>
    <row r="38">
      <c r="A38" s="8">
        <f>IF(C38="","","V"&amp;TEXT(ROW()-4,"000"))</f>
        <v/>
      </c>
      <c r="B38" s="5" t="n"/>
      <c r="C38" s="5" t="n"/>
      <c r="D38" s="5" t="n"/>
      <c r="E38" s="13" t="n"/>
      <c r="F38" s="13" t="n"/>
      <c r="G38" s="7" t="n"/>
      <c r="H38" s="9">
        <f>IF(G38="","",G38+$H$2)</f>
        <v/>
      </c>
      <c r="I38" s="5" t="n"/>
      <c r="J38" s="11">
        <f>IF(G38="","",IF(I38="Sim","Usado",IF(TODAY()&gt;H38,"Vencido",IF(H38-TODAY()&lt;=15,"Vence em breve","Ativo"))))</f>
        <v/>
      </c>
    </row>
    <row r="39">
      <c r="A39" s="8">
        <f>IF(C39="","","V"&amp;TEXT(ROW()-4,"000"))</f>
        <v/>
      </c>
      <c r="B39" s="5" t="n"/>
      <c r="C39" s="5" t="n"/>
      <c r="D39" s="5" t="n"/>
      <c r="E39" s="13" t="n"/>
      <c r="F39" s="13" t="n"/>
      <c r="G39" s="7" t="n"/>
      <c r="H39" s="9">
        <f>IF(G39="","",G39+$H$2)</f>
        <v/>
      </c>
      <c r="I39" s="5" t="n"/>
      <c r="J39" s="11">
        <f>IF(G39="","",IF(I39="Sim","Usado",IF(TODAY()&gt;H39,"Vencido",IF(H39-TODAY()&lt;=15,"Vence em breve","Ativo"))))</f>
        <v/>
      </c>
    </row>
    <row r="40">
      <c r="A40" s="8">
        <f>IF(C40="","","V"&amp;TEXT(ROW()-4,"000"))</f>
        <v/>
      </c>
      <c r="B40" s="5" t="n"/>
      <c r="C40" s="5" t="n"/>
      <c r="D40" s="5" t="n"/>
      <c r="E40" s="13" t="n"/>
      <c r="F40" s="13" t="n"/>
      <c r="G40" s="7" t="n"/>
      <c r="H40" s="9">
        <f>IF(G40="","",G40+$H$2)</f>
        <v/>
      </c>
      <c r="I40" s="5" t="n"/>
      <c r="J40" s="11">
        <f>IF(G40="","",IF(I40="Sim","Usado",IF(TODAY()&gt;H40,"Vencido",IF(H40-TODAY()&lt;=15,"Vence em breve","Ativo"))))</f>
        <v/>
      </c>
    </row>
    <row r="41">
      <c r="A41" s="8">
        <f>IF(C41="","","V"&amp;TEXT(ROW()-4,"000"))</f>
        <v/>
      </c>
      <c r="B41" s="5" t="n"/>
      <c r="C41" s="5" t="n"/>
      <c r="D41" s="5" t="n"/>
      <c r="E41" s="13" t="n"/>
      <c r="F41" s="13" t="n"/>
      <c r="G41" s="7" t="n"/>
      <c r="H41" s="9">
        <f>IF(G41="","",G41+$H$2)</f>
        <v/>
      </c>
      <c r="I41" s="5" t="n"/>
      <c r="J41" s="11">
        <f>IF(G41="","",IF(I41="Sim","Usado",IF(TODAY()&gt;H41,"Vencido",IF(H41-TODAY()&lt;=15,"Vence em breve","Ativo"))))</f>
        <v/>
      </c>
    </row>
    <row r="42">
      <c r="A42" s="8">
        <f>IF(C42="","","V"&amp;TEXT(ROW()-4,"000"))</f>
        <v/>
      </c>
      <c r="B42" s="5" t="n"/>
      <c r="C42" s="5" t="n"/>
      <c r="D42" s="5" t="n"/>
      <c r="E42" s="13" t="n"/>
      <c r="F42" s="13" t="n"/>
      <c r="G42" s="7" t="n"/>
      <c r="H42" s="9">
        <f>IF(G42="","",G42+$H$2)</f>
        <v/>
      </c>
      <c r="I42" s="5" t="n"/>
      <c r="J42" s="11">
        <f>IF(G42="","",IF(I42="Sim","Usado",IF(TODAY()&gt;H42,"Vencido",IF(H42-TODAY()&lt;=15,"Vence em breve","Ativo"))))</f>
        <v/>
      </c>
    </row>
    <row r="43">
      <c r="A43" s="8">
        <f>IF(C43="","","V"&amp;TEXT(ROW()-4,"000"))</f>
        <v/>
      </c>
      <c r="B43" s="5" t="n"/>
      <c r="C43" s="5" t="n"/>
      <c r="D43" s="5" t="n"/>
      <c r="E43" s="13" t="n"/>
      <c r="F43" s="13" t="n"/>
      <c r="G43" s="7" t="n"/>
      <c r="H43" s="9">
        <f>IF(G43="","",G43+$H$2)</f>
        <v/>
      </c>
      <c r="I43" s="5" t="n"/>
      <c r="J43" s="11">
        <f>IF(G43="","",IF(I43="Sim","Usado",IF(TODAY()&gt;H43,"Vencido",IF(H43-TODAY()&lt;=15,"Vence em breve","Ativo"))))</f>
        <v/>
      </c>
    </row>
    <row r="44">
      <c r="A44" s="8">
        <f>IF(C44="","","V"&amp;TEXT(ROW()-4,"000"))</f>
        <v/>
      </c>
      <c r="B44" s="5" t="n"/>
      <c r="C44" s="5" t="n"/>
      <c r="D44" s="5" t="n"/>
      <c r="E44" s="13" t="n"/>
      <c r="F44" s="13" t="n"/>
      <c r="G44" s="7" t="n"/>
      <c r="H44" s="9">
        <f>IF(G44="","",G44+$H$2)</f>
        <v/>
      </c>
      <c r="I44" s="5" t="n"/>
      <c r="J44" s="11">
        <f>IF(G44="","",IF(I44="Sim","Usado",IF(TODAY()&gt;H44,"Vencido",IF(H44-TODAY()&lt;=15,"Vence em breve","Ativo"))))</f>
        <v/>
      </c>
    </row>
    <row r="45">
      <c r="A45" s="8">
        <f>IF(C45="","","V"&amp;TEXT(ROW()-4,"000"))</f>
        <v/>
      </c>
      <c r="B45" s="5" t="n"/>
      <c r="C45" s="5" t="n"/>
      <c r="D45" s="5" t="n"/>
      <c r="E45" s="13" t="n"/>
      <c r="F45" s="13" t="n"/>
      <c r="G45" s="7" t="n"/>
      <c r="H45" s="9">
        <f>IF(G45="","",G45+$H$2)</f>
        <v/>
      </c>
      <c r="I45" s="5" t="n"/>
      <c r="J45" s="11">
        <f>IF(G45="","",IF(I45="Sim","Usado",IF(TODAY()&gt;H45,"Vencido",IF(H45-TODAY()&lt;=15,"Vence em breve","Ativo"))))</f>
        <v/>
      </c>
    </row>
    <row r="46">
      <c r="A46" s="8">
        <f>IF(C46="","","V"&amp;TEXT(ROW()-4,"000"))</f>
        <v/>
      </c>
      <c r="B46" s="5" t="n"/>
      <c r="C46" s="5" t="n"/>
      <c r="D46" s="5" t="n"/>
      <c r="E46" s="13" t="n"/>
      <c r="F46" s="13" t="n"/>
      <c r="G46" s="7" t="n"/>
      <c r="H46" s="9">
        <f>IF(G46="","",G46+$H$2)</f>
        <v/>
      </c>
      <c r="I46" s="5" t="n"/>
      <c r="J46" s="11">
        <f>IF(G46="","",IF(I46="Sim","Usado",IF(TODAY()&gt;H46,"Vencido",IF(H46-TODAY()&lt;=15,"Vence em breve","Ativo"))))</f>
        <v/>
      </c>
    </row>
    <row r="47">
      <c r="A47" s="8">
        <f>IF(C47="","","V"&amp;TEXT(ROW()-4,"000"))</f>
        <v/>
      </c>
      <c r="B47" s="5" t="n"/>
      <c r="C47" s="5" t="n"/>
      <c r="D47" s="5" t="n"/>
      <c r="E47" s="13" t="n"/>
      <c r="F47" s="13" t="n"/>
      <c r="G47" s="7" t="n"/>
      <c r="H47" s="9">
        <f>IF(G47="","",G47+$H$2)</f>
        <v/>
      </c>
      <c r="I47" s="5" t="n"/>
      <c r="J47" s="11">
        <f>IF(G47="","",IF(I47="Sim","Usado",IF(TODAY()&gt;H47,"Vencido",IF(H47-TODAY()&lt;=15,"Vence em breve","Ativo"))))</f>
        <v/>
      </c>
    </row>
    <row r="48">
      <c r="A48" s="8">
        <f>IF(C48="","","V"&amp;TEXT(ROW()-4,"000"))</f>
        <v/>
      </c>
      <c r="B48" s="5" t="n"/>
      <c r="C48" s="5" t="n"/>
      <c r="D48" s="5" t="n"/>
      <c r="E48" s="13" t="n"/>
      <c r="F48" s="13" t="n"/>
      <c r="G48" s="7" t="n"/>
      <c r="H48" s="9">
        <f>IF(G48="","",G48+$H$2)</f>
        <v/>
      </c>
      <c r="I48" s="5" t="n"/>
      <c r="J48" s="11">
        <f>IF(G48="","",IF(I48="Sim","Usado",IF(TODAY()&gt;H48,"Vencido",IF(H48-TODAY()&lt;=15,"Vence em breve","Ativo"))))</f>
        <v/>
      </c>
    </row>
    <row r="49">
      <c r="A49" s="8">
        <f>IF(C49="","","V"&amp;TEXT(ROW()-4,"000"))</f>
        <v/>
      </c>
      <c r="B49" s="5" t="n"/>
      <c r="C49" s="5" t="n"/>
      <c r="D49" s="5" t="n"/>
      <c r="E49" s="13" t="n"/>
      <c r="F49" s="13" t="n"/>
      <c r="G49" s="7" t="n"/>
      <c r="H49" s="9">
        <f>IF(G49="","",G49+$H$2)</f>
        <v/>
      </c>
      <c r="I49" s="5" t="n"/>
      <c r="J49" s="11">
        <f>IF(G49="","",IF(I49="Sim","Usado",IF(TODAY()&gt;H49,"Vencido",IF(H49-TODAY()&lt;=15,"Vence em breve","Ativo"))))</f>
        <v/>
      </c>
    </row>
    <row r="50">
      <c r="A50" s="8">
        <f>IF(C50="","","V"&amp;TEXT(ROW()-4,"000"))</f>
        <v/>
      </c>
      <c r="B50" s="5" t="n"/>
      <c r="C50" s="5" t="n"/>
      <c r="D50" s="5" t="n"/>
      <c r="E50" s="13" t="n"/>
      <c r="F50" s="13" t="n"/>
      <c r="G50" s="7" t="n"/>
      <c r="H50" s="9">
        <f>IF(G50="","",G50+$H$2)</f>
        <v/>
      </c>
      <c r="I50" s="5" t="n"/>
      <c r="J50" s="11">
        <f>IF(G50="","",IF(I50="Sim","Usado",IF(TODAY()&gt;H50,"Vencido",IF(H50-TODAY()&lt;=15,"Vence em breve","Ativo"))))</f>
        <v/>
      </c>
    </row>
    <row r="51">
      <c r="A51" s="8">
        <f>IF(C51="","","V"&amp;TEXT(ROW()-4,"000"))</f>
        <v/>
      </c>
      <c r="B51" s="5" t="n"/>
      <c r="C51" s="5" t="n"/>
      <c r="D51" s="5" t="n"/>
      <c r="E51" s="13" t="n"/>
      <c r="F51" s="13" t="n"/>
      <c r="G51" s="7" t="n"/>
      <c r="H51" s="9">
        <f>IF(G51="","",G51+$H$2)</f>
        <v/>
      </c>
      <c r="I51" s="5" t="n"/>
      <c r="J51" s="11">
        <f>IF(G51="","",IF(I51="Sim","Usado",IF(TODAY()&gt;H51,"Vencido",IF(H51-TODAY()&lt;=15,"Vence em breve","Ativo"))))</f>
        <v/>
      </c>
    </row>
    <row r="52">
      <c r="A52" s="8">
        <f>IF(C52="","","V"&amp;TEXT(ROW()-4,"000"))</f>
        <v/>
      </c>
      <c r="B52" s="5" t="n"/>
      <c r="C52" s="5" t="n"/>
      <c r="D52" s="5" t="n"/>
      <c r="E52" s="13" t="n"/>
      <c r="F52" s="13" t="n"/>
      <c r="G52" s="7" t="n"/>
      <c r="H52" s="9">
        <f>IF(G52="","",G52+$H$2)</f>
        <v/>
      </c>
      <c r="I52" s="5" t="n"/>
      <c r="J52" s="11">
        <f>IF(G52="","",IF(I52="Sim","Usado",IF(TODAY()&gt;H52,"Vencido",IF(H52-TODAY()&lt;=15,"Vence em breve","Ativo"))))</f>
        <v/>
      </c>
    </row>
    <row r="53">
      <c r="A53" s="8">
        <f>IF(C53="","","V"&amp;TEXT(ROW()-4,"000"))</f>
        <v/>
      </c>
      <c r="B53" s="5" t="n"/>
      <c r="C53" s="5" t="n"/>
      <c r="D53" s="5" t="n"/>
      <c r="E53" s="13" t="n"/>
      <c r="F53" s="13" t="n"/>
      <c r="G53" s="7" t="n"/>
      <c r="H53" s="9">
        <f>IF(G53="","",G53+$H$2)</f>
        <v/>
      </c>
      <c r="I53" s="5" t="n"/>
      <c r="J53" s="11">
        <f>IF(G53="","",IF(I53="Sim","Usado",IF(TODAY()&gt;H53,"Vencido",IF(H53-TODAY()&lt;=15,"Vence em breve","Ativo"))))</f>
        <v/>
      </c>
    </row>
    <row r="54">
      <c r="A54" s="8">
        <f>IF(C54="","","V"&amp;TEXT(ROW()-4,"000"))</f>
        <v/>
      </c>
      <c r="B54" s="5" t="n"/>
      <c r="C54" s="5" t="n"/>
      <c r="D54" s="5" t="n"/>
      <c r="E54" s="13" t="n"/>
      <c r="F54" s="13" t="n"/>
      <c r="G54" s="7" t="n"/>
      <c r="H54" s="9">
        <f>IF(G54="","",G54+$H$2)</f>
        <v/>
      </c>
      <c r="I54" s="5" t="n"/>
      <c r="J54" s="11">
        <f>IF(G54="","",IF(I54="Sim","Usado",IF(TODAY()&gt;H54,"Vencido",IF(H54-TODAY()&lt;=15,"Vence em breve","Ativo"))))</f>
        <v/>
      </c>
    </row>
    <row r="55">
      <c r="A55" s="8">
        <f>IF(C55="","","V"&amp;TEXT(ROW()-4,"000"))</f>
        <v/>
      </c>
      <c r="B55" s="5" t="n"/>
      <c r="C55" s="5" t="n"/>
      <c r="D55" s="5" t="n"/>
      <c r="E55" s="13" t="n"/>
      <c r="F55" s="13" t="n"/>
      <c r="G55" s="7" t="n"/>
      <c r="H55" s="9">
        <f>IF(G55="","",G55+$H$2)</f>
        <v/>
      </c>
      <c r="I55" s="5" t="n"/>
      <c r="J55" s="11">
        <f>IF(G55="","",IF(I55="Sim","Usado",IF(TODAY()&gt;H55,"Vencido",IF(H55-TODAY()&lt;=15,"Vence em breve","Ativo"))))</f>
        <v/>
      </c>
    </row>
    <row r="56">
      <c r="A56" s="8">
        <f>IF(C56="","","V"&amp;TEXT(ROW()-4,"000"))</f>
        <v/>
      </c>
      <c r="B56" s="5" t="n"/>
      <c r="C56" s="5" t="n"/>
      <c r="D56" s="5" t="n"/>
      <c r="E56" s="13" t="n"/>
      <c r="F56" s="13" t="n"/>
      <c r="G56" s="7" t="n"/>
      <c r="H56" s="9">
        <f>IF(G56="","",G56+$H$2)</f>
        <v/>
      </c>
      <c r="I56" s="5" t="n"/>
      <c r="J56" s="11">
        <f>IF(G56="","",IF(I56="Sim","Usado",IF(TODAY()&gt;H56,"Vencido",IF(H56-TODAY()&lt;=15,"Vence em breve","Ativo"))))</f>
        <v/>
      </c>
    </row>
    <row r="57">
      <c r="A57" s="8">
        <f>IF(C57="","","V"&amp;TEXT(ROW()-4,"000"))</f>
        <v/>
      </c>
      <c r="B57" s="5" t="n"/>
      <c r="C57" s="5" t="n"/>
      <c r="D57" s="5" t="n"/>
      <c r="E57" s="13" t="n"/>
      <c r="F57" s="13" t="n"/>
      <c r="G57" s="7" t="n"/>
      <c r="H57" s="9">
        <f>IF(G57="","",G57+$H$2)</f>
        <v/>
      </c>
      <c r="I57" s="5" t="n"/>
      <c r="J57" s="11">
        <f>IF(G57="","",IF(I57="Sim","Usado",IF(TODAY()&gt;H57,"Vencido",IF(H57-TODAY()&lt;=15,"Vence em breve","Ativo"))))</f>
        <v/>
      </c>
    </row>
    <row r="58">
      <c r="A58" s="8">
        <f>IF(C58="","","V"&amp;TEXT(ROW()-4,"000"))</f>
        <v/>
      </c>
      <c r="B58" s="5" t="n"/>
      <c r="C58" s="5" t="n"/>
      <c r="D58" s="5" t="n"/>
      <c r="E58" s="13" t="n"/>
      <c r="F58" s="13" t="n"/>
      <c r="G58" s="7" t="n"/>
      <c r="H58" s="9">
        <f>IF(G58="","",G58+$H$2)</f>
        <v/>
      </c>
      <c r="I58" s="5" t="n"/>
      <c r="J58" s="11">
        <f>IF(G58="","",IF(I58="Sim","Usado",IF(TODAY()&gt;H58,"Vencido",IF(H58-TODAY()&lt;=15,"Vence em breve","Ativo"))))</f>
        <v/>
      </c>
    </row>
    <row r="59">
      <c r="A59" s="8">
        <f>IF(C59="","","V"&amp;TEXT(ROW()-4,"000"))</f>
        <v/>
      </c>
      <c r="B59" s="5" t="n"/>
      <c r="C59" s="5" t="n"/>
      <c r="D59" s="5" t="n"/>
      <c r="E59" s="13" t="n"/>
      <c r="F59" s="13" t="n"/>
      <c r="G59" s="7" t="n"/>
      <c r="H59" s="9">
        <f>IF(G59="","",G59+$H$2)</f>
        <v/>
      </c>
      <c r="I59" s="5" t="n"/>
      <c r="J59" s="11">
        <f>IF(G59="","",IF(I59="Sim","Usado",IF(TODAY()&gt;H59,"Vencido",IF(H59-TODAY()&lt;=15,"Vence em breve","Ativo"))))</f>
        <v/>
      </c>
    </row>
    <row r="60">
      <c r="A60" s="8">
        <f>IF(C60="","","V"&amp;TEXT(ROW()-4,"000"))</f>
        <v/>
      </c>
      <c r="B60" s="5" t="n"/>
      <c r="C60" s="5" t="n"/>
      <c r="D60" s="5" t="n"/>
      <c r="E60" s="13" t="n"/>
      <c r="F60" s="13" t="n"/>
      <c r="G60" s="7" t="n"/>
      <c r="H60" s="9">
        <f>IF(G60="","",G60+$H$2)</f>
        <v/>
      </c>
      <c r="I60" s="5" t="n"/>
      <c r="J60" s="11">
        <f>IF(G60="","",IF(I60="Sim","Usado",IF(TODAY()&gt;H60,"Vencido",IF(H60-TODAY()&lt;=15,"Vence em breve","Ativo"))))</f>
        <v/>
      </c>
    </row>
    <row r="61">
      <c r="A61" s="8">
        <f>IF(C61="","","V"&amp;TEXT(ROW()-4,"000"))</f>
        <v/>
      </c>
      <c r="B61" s="5" t="n"/>
      <c r="C61" s="5" t="n"/>
      <c r="D61" s="5" t="n"/>
      <c r="E61" s="13" t="n"/>
      <c r="F61" s="13" t="n"/>
      <c r="G61" s="7" t="n"/>
      <c r="H61" s="9">
        <f>IF(G61="","",G61+$H$2)</f>
        <v/>
      </c>
      <c r="I61" s="5" t="n"/>
      <c r="J61" s="11">
        <f>IF(G61="","",IF(I61="Sim","Usado",IF(TODAY()&gt;H61,"Vencido",IF(H61-TODAY()&lt;=15,"Vence em breve","Ativo"))))</f>
        <v/>
      </c>
    </row>
    <row r="62">
      <c r="A62" s="8">
        <f>IF(C62="","","V"&amp;TEXT(ROW()-4,"000"))</f>
        <v/>
      </c>
      <c r="B62" s="5" t="n"/>
      <c r="C62" s="5" t="n"/>
      <c r="D62" s="5" t="n"/>
      <c r="E62" s="13" t="n"/>
      <c r="F62" s="13" t="n"/>
      <c r="G62" s="7" t="n"/>
      <c r="H62" s="9">
        <f>IF(G62="","",G62+$H$2)</f>
        <v/>
      </c>
      <c r="I62" s="5" t="n"/>
      <c r="J62" s="11">
        <f>IF(G62="","",IF(I62="Sim","Usado",IF(TODAY()&gt;H62,"Vencido",IF(H62-TODAY()&lt;=15,"Vence em breve","Ativo"))))</f>
        <v/>
      </c>
    </row>
    <row r="63">
      <c r="A63" s="8">
        <f>IF(C63="","","V"&amp;TEXT(ROW()-4,"000"))</f>
        <v/>
      </c>
      <c r="B63" s="5" t="n"/>
      <c r="C63" s="5" t="n"/>
      <c r="D63" s="5" t="n"/>
      <c r="E63" s="13" t="n"/>
      <c r="F63" s="13" t="n"/>
      <c r="G63" s="7" t="n"/>
      <c r="H63" s="9">
        <f>IF(G63="","",G63+$H$2)</f>
        <v/>
      </c>
      <c r="I63" s="5" t="n"/>
      <c r="J63" s="11">
        <f>IF(G63="","",IF(I63="Sim","Usado",IF(TODAY()&gt;H63,"Vencido",IF(H63-TODAY()&lt;=15,"Vence em breve","Ativo"))))</f>
        <v/>
      </c>
    </row>
    <row r="64">
      <c r="A64" s="8">
        <f>IF(C64="","","V"&amp;TEXT(ROW()-4,"000"))</f>
        <v/>
      </c>
      <c r="B64" s="5" t="n"/>
      <c r="C64" s="5" t="n"/>
      <c r="D64" s="5" t="n"/>
      <c r="E64" s="13" t="n"/>
      <c r="F64" s="13" t="n"/>
      <c r="G64" s="7" t="n"/>
      <c r="H64" s="9">
        <f>IF(G64="","",G64+$H$2)</f>
        <v/>
      </c>
      <c r="I64" s="5" t="n"/>
      <c r="J64" s="11">
        <f>IF(G64="","",IF(I64="Sim","Usado",IF(TODAY()&gt;H64,"Vencido",IF(H64-TODAY()&lt;=15,"Vence em breve","Ativo"))))</f>
        <v/>
      </c>
    </row>
    <row r="65">
      <c r="A65" s="8">
        <f>IF(C65="","","V"&amp;TEXT(ROW()-4,"000"))</f>
        <v/>
      </c>
      <c r="B65" s="5" t="n"/>
      <c r="C65" s="5" t="n"/>
      <c r="D65" s="5" t="n"/>
      <c r="E65" s="13" t="n"/>
      <c r="F65" s="13" t="n"/>
      <c r="G65" s="7" t="n"/>
      <c r="H65" s="9">
        <f>IF(G65="","",G65+$H$2)</f>
        <v/>
      </c>
      <c r="I65" s="5" t="n"/>
      <c r="J65" s="11">
        <f>IF(G65="","",IF(I65="Sim","Usado",IF(TODAY()&gt;H65,"Vencido",IF(H65-TODAY()&lt;=15,"Vence em breve","Ativo"))))</f>
        <v/>
      </c>
    </row>
    <row r="66">
      <c r="A66" s="8">
        <f>IF(C66="","","V"&amp;TEXT(ROW()-4,"000"))</f>
        <v/>
      </c>
      <c r="B66" s="5" t="n"/>
      <c r="C66" s="5" t="n"/>
      <c r="D66" s="5" t="n"/>
      <c r="E66" s="13" t="n"/>
      <c r="F66" s="13" t="n"/>
      <c r="G66" s="7" t="n"/>
      <c r="H66" s="9">
        <f>IF(G66="","",G66+$H$2)</f>
        <v/>
      </c>
      <c r="I66" s="5" t="n"/>
      <c r="J66" s="11">
        <f>IF(G66="","",IF(I66="Sim","Usado",IF(TODAY()&gt;H66,"Vencido",IF(H66-TODAY()&lt;=15,"Vence em breve","Ativo"))))</f>
        <v/>
      </c>
    </row>
    <row r="67">
      <c r="A67" s="8">
        <f>IF(C67="","","V"&amp;TEXT(ROW()-4,"000"))</f>
        <v/>
      </c>
      <c r="B67" s="5" t="n"/>
      <c r="C67" s="5" t="n"/>
      <c r="D67" s="5" t="n"/>
      <c r="E67" s="13" t="n"/>
      <c r="F67" s="13" t="n"/>
      <c r="G67" s="7" t="n"/>
      <c r="H67" s="9">
        <f>IF(G67="","",G67+$H$2)</f>
        <v/>
      </c>
      <c r="I67" s="5" t="n"/>
      <c r="J67" s="11">
        <f>IF(G67="","",IF(I67="Sim","Usado",IF(TODAY()&gt;H67,"Vencido",IF(H67-TODAY()&lt;=15,"Vence em breve","Ativo"))))</f>
        <v/>
      </c>
    </row>
    <row r="68">
      <c r="A68" s="8">
        <f>IF(C68="","","V"&amp;TEXT(ROW()-4,"000"))</f>
        <v/>
      </c>
      <c r="B68" s="5" t="n"/>
      <c r="C68" s="5" t="n"/>
      <c r="D68" s="5" t="n"/>
      <c r="E68" s="13" t="n"/>
      <c r="F68" s="13" t="n"/>
      <c r="G68" s="7" t="n"/>
      <c r="H68" s="9">
        <f>IF(G68="","",G68+$H$2)</f>
        <v/>
      </c>
      <c r="I68" s="5" t="n"/>
      <c r="J68" s="11">
        <f>IF(G68="","",IF(I68="Sim","Usado",IF(TODAY()&gt;H68,"Vencido",IF(H68-TODAY()&lt;=15,"Vence em breve","Ativo"))))</f>
        <v/>
      </c>
    </row>
    <row r="69">
      <c r="A69" s="8">
        <f>IF(C69="","","V"&amp;TEXT(ROW()-4,"000"))</f>
        <v/>
      </c>
      <c r="B69" s="5" t="n"/>
      <c r="C69" s="5" t="n"/>
      <c r="D69" s="5" t="n"/>
      <c r="E69" s="13" t="n"/>
      <c r="F69" s="13" t="n"/>
      <c r="G69" s="7" t="n"/>
      <c r="H69" s="9">
        <f>IF(G69="","",G69+$H$2)</f>
        <v/>
      </c>
      <c r="I69" s="5" t="n"/>
      <c r="J69" s="11">
        <f>IF(G69="","",IF(I69="Sim","Usado",IF(TODAY()&gt;H69,"Vencido",IF(H69-TODAY()&lt;=15,"Vence em breve","Ativo"))))</f>
        <v/>
      </c>
    </row>
    <row r="70">
      <c r="A70" s="8">
        <f>IF(C70="","","V"&amp;TEXT(ROW()-4,"000"))</f>
        <v/>
      </c>
      <c r="B70" s="5" t="n"/>
      <c r="C70" s="5" t="n"/>
      <c r="D70" s="5" t="n"/>
      <c r="E70" s="13" t="n"/>
      <c r="F70" s="13" t="n"/>
      <c r="G70" s="7" t="n"/>
      <c r="H70" s="9">
        <f>IF(G70="","",G70+$H$2)</f>
        <v/>
      </c>
      <c r="I70" s="5" t="n"/>
      <c r="J70" s="11">
        <f>IF(G70="","",IF(I70="Sim","Usado",IF(TODAY()&gt;H70,"Vencido",IF(H70-TODAY()&lt;=15,"Vence em breve","Ativo"))))</f>
        <v/>
      </c>
    </row>
    <row r="71">
      <c r="A71" s="8">
        <f>IF(C71="","","V"&amp;TEXT(ROW()-4,"000"))</f>
        <v/>
      </c>
      <c r="B71" s="5" t="n"/>
      <c r="C71" s="5" t="n"/>
      <c r="D71" s="5" t="n"/>
      <c r="E71" s="13" t="n"/>
      <c r="F71" s="13" t="n"/>
      <c r="G71" s="7" t="n"/>
      <c r="H71" s="9">
        <f>IF(G71="","",G71+$H$2)</f>
        <v/>
      </c>
      <c r="I71" s="5" t="n"/>
      <c r="J71" s="11">
        <f>IF(G71="","",IF(I71="Sim","Usado",IF(TODAY()&gt;H71,"Vencido",IF(H71-TODAY()&lt;=15,"Vence em breve","Ativo"))))</f>
        <v/>
      </c>
    </row>
    <row r="72">
      <c r="A72" s="8">
        <f>IF(C72="","","V"&amp;TEXT(ROW()-4,"000"))</f>
        <v/>
      </c>
      <c r="B72" s="5" t="n"/>
      <c r="C72" s="5" t="n"/>
      <c r="D72" s="5" t="n"/>
      <c r="E72" s="13" t="n"/>
      <c r="F72" s="13" t="n"/>
      <c r="G72" s="7" t="n"/>
      <c r="H72" s="9">
        <f>IF(G72="","",G72+$H$2)</f>
        <v/>
      </c>
      <c r="I72" s="5" t="n"/>
      <c r="J72" s="11">
        <f>IF(G72="","",IF(I72="Sim","Usado",IF(TODAY()&gt;H72,"Vencido",IF(H72-TODAY()&lt;=15,"Vence em breve","Ativo"))))</f>
        <v/>
      </c>
    </row>
    <row r="73">
      <c r="A73" s="8">
        <f>IF(C73="","","V"&amp;TEXT(ROW()-4,"000"))</f>
        <v/>
      </c>
      <c r="B73" s="5" t="n"/>
      <c r="C73" s="5" t="n"/>
      <c r="D73" s="5" t="n"/>
      <c r="E73" s="13" t="n"/>
      <c r="F73" s="13" t="n"/>
      <c r="G73" s="7" t="n"/>
      <c r="H73" s="9">
        <f>IF(G73="","",G73+$H$2)</f>
        <v/>
      </c>
      <c r="I73" s="5" t="n"/>
      <c r="J73" s="11">
        <f>IF(G73="","",IF(I73="Sim","Usado",IF(TODAY()&gt;H73,"Vencido",IF(H73-TODAY()&lt;=15,"Vence em breve","Ativo"))))</f>
        <v/>
      </c>
    </row>
    <row r="74">
      <c r="A74" s="8">
        <f>IF(C74="","","V"&amp;TEXT(ROW()-4,"000"))</f>
        <v/>
      </c>
      <c r="B74" s="5" t="n"/>
      <c r="C74" s="5" t="n"/>
      <c r="D74" s="5" t="n"/>
      <c r="E74" s="13" t="n"/>
      <c r="F74" s="13" t="n"/>
      <c r="G74" s="7" t="n"/>
      <c r="H74" s="9">
        <f>IF(G74="","",G74+$H$2)</f>
        <v/>
      </c>
      <c r="I74" s="5" t="n"/>
      <c r="J74" s="11">
        <f>IF(G74="","",IF(I74="Sim","Usado",IF(TODAY()&gt;H74,"Vencido",IF(H74-TODAY()&lt;=15,"Vence em breve","Ativo"))))</f>
        <v/>
      </c>
    </row>
    <row r="75">
      <c r="A75" s="8">
        <f>IF(C75="","","V"&amp;TEXT(ROW()-4,"000"))</f>
        <v/>
      </c>
      <c r="B75" s="5" t="n"/>
      <c r="C75" s="5" t="n"/>
      <c r="D75" s="5" t="n"/>
      <c r="E75" s="13" t="n"/>
      <c r="F75" s="13" t="n"/>
      <c r="G75" s="7" t="n"/>
      <c r="H75" s="9">
        <f>IF(G75="","",G75+$H$2)</f>
        <v/>
      </c>
      <c r="I75" s="5" t="n"/>
      <c r="J75" s="11">
        <f>IF(G75="","",IF(I75="Sim","Usado",IF(TODAY()&gt;H75,"Vencido",IF(H75-TODAY()&lt;=15,"Vence em breve","Ativo"))))</f>
        <v/>
      </c>
    </row>
    <row r="76">
      <c r="A76" s="8">
        <f>IF(C76="","","V"&amp;TEXT(ROW()-4,"000"))</f>
        <v/>
      </c>
      <c r="B76" s="5" t="n"/>
      <c r="C76" s="5" t="n"/>
      <c r="D76" s="5" t="n"/>
      <c r="E76" s="13" t="n"/>
      <c r="F76" s="13" t="n"/>
      <c r="G76" s="7" t="n"/>
      <c r="H76" s="9">
        <f>IF(G76="","",G76+$H$2)</f>
        <v/>
      </c>
      <c r="I76" s="5" t="n"/>
      <c r="J76" s="11">
        <f>IF(G76="","",IF(I76="Sim","Usado",IF(TODAY()&gt;H76,"Vencido",IF(H76-TODAY()&lt;=15,"Vence em breve","Ativo"))))</f>
        <v/>
      </c>
    </row>
    <row r="77">
      <c r="A77" s="8">
        <f>IF(C77="","","V"&amp;TEXT(ROW()-4,"000"))</f>
        <v/>
      </c>
      <c r="B77" s="5" t="n"/>
      <c r="C77" s="5" t="n"/>
      <c r="D77" s="5" t="n"/>
      <c r="E77" s="13" t="n"/>
      <c r="F77" s="13" t="n"/>
      <c r="G77" s="7" t="n"/>
      <c r="H77" s="9">
        <f>IF(G77="","",G77+$H$2)</f>
        <v/>
      </c>
      <c r="I77" s="5" t="n"/>
      <c r="J77" s="11">
        <f>IF(G77="","",IF(I77="Sim","Usado",IF(TODAY()&gt;H77,"Vencido",IF(H77-TODAY()&lt;=15,"Vence em breve","Ativo"))))</f>
        <v/>
      </c>
    </row>
    <row r="78">
      <c r="A78" s="8">
        <f>IF(C78="","","V"&amp;TEXT(ROW()-4,"000"))</f>
        <v/>
      </c>
      <c r="B78" s="5" t="n"/>
      <c r="C78" s="5" t="n"/>
      <c r="D78" s="5" t="n"/>
      <c r="E78" s="13" t="n"/>
      <c r="F78" s="13" t="n"/>
      <c r="G78" s="7" t="n"/>
      <c r="H78" s="9">
        <f>IF(G78="","",G78+$H$2)</f>
        <v/>
      </c>
      <c r="I78" s="5" t="n"/>
      <c r="J78" s="11">
        <f>IF(G78="","",IF(I78="Sim","Usado",IF(TODAY()&gt;H78,"Vencido",IF(H78-TODAY()&lt;=15,"Vence em breve","Ativo"))))</f>
        <v/>
      </c>
    </row>
    <row r="79">
      <c r="A79" s="8">
        <f>IF(C79="","","V"&amp;TEXT(ROW()-4,"000"))</f>
        <v/>
      </c>
      <c r="B79" s="5" t="n"/>
      <c r="C79" s="5" t="n"/>
      <c r="D79" s="5" t="n"/>
      <c r="E79" s="13" t="n"/>
      <c r="F79" s="13" t="n"/>
      <c r="G79" s="7" t="n"/>
      <c r="H79" s="9">
        <f>IF(G79="","",G79+$H$2)</f>
        <v/>
      </c>
      <c r="I79" s="5" t="n"/>
      <c r="J79" s="11">
        <f>IF(G79="","",IF(I79="Sim","Usado",IF(TODAY()&gt;H79,"Vencido",IF(H79-TODAY()&lt;=15,"Vence em breve","Ativo"))))</f>
        <v/>
      </c>
    </row>
    <row r="80">
      <c r="A80" s="8">
        <f>IF(C80="","","V"&amp;TEXT(ROW()-4,"000"))</f>
        <v/>
      </c>
      <c r="B80" s="5" t="n"/>
      <c r="C80" s="5" t="n"/>
      <c r="D80" s="5" t="n"/>
      <c r="E80" s="13" t="n"/>
      <c r="F80" s="13" t="n"/>
      <c r="G80" s="7" t="n"/>
      <c r="H80" s="9">
        <f>IF(G80="","",G80+$H$2)</f>
        <v/>
      </c>
      <c r="I80" s="5" t="n"/>
      <c r="J80" s="11">
        <f>IF(G80="","",IF(I80="Sim","Usado",IF(TODAY()&gt;H80,"Vencido",IF(H80-TODAY()&lt;=15,"Vence em breve","Ativo"))))</f>
        <v/>
      </c>
    </row>
    <row r="81">
      <c r="A81" s="8">
        <f>IF(C81="","","V"&amp;TEXT(ROW()-4,"000"))</f>
        <v/>
      </c>
      <c r="B81" s="5" t="n"/>
      <c r="C81" s="5" t="n"/>
      <c r="D81" s="5" t="n"/>
      <c r="E81" s="13" t="n"/>
      <c r="F81" s="13" t="n"/>
      <c r="G81" s="7" t="n"/>
      <c r="H81" s="9">
        <f>IF(G81="","",G81+$H$2)</f>
        <v/>
      </c>
      <c r="I81" s="5" t="n"/>
      <c r="J81" s="11">
        <f>IF(G81="","",IF(I81="Sim","Usado",IF(TODAY()&gt;H81,"Vencido",IF(H81-TODAY()&lt;=15,"Vence em breve","Ativo"))))</f>
        <v/>
      </c>
    </row>
    <row r="82">
      <c r="A82" s="8">
        <f>IF(C82="","","V"&amp;TEXT(ROW()-4,"000"))</f>
        <v/>
      </c>
      <c r="B82" s="5" t="n"/>
      <c r="C82" s="5" t="n"/>
      <c r="D82" s="5" t="n"/>
      <c r="E82" s="13" t="n"/>
      <c r="F82" s="13" t="n"/>
      <c r="G82" s="7" t="n"/>
      <c r="H82" s="9">
        <f>IF(G82="","",G82+$H$2)</f>
        <v/>
      </c>
      <c r="I82" s="5" t="n"/>
      <c r="J82" s="11">
        <f>IF(G82="","",IF(I82="Sim","Usado",IF(TODAY()&gt;H82,"Vencido",IF(H82-TODAY()&lt;=15,"Vence em breve","Ativo"))))</f>
        <v/>
      </c>
    </row>
    <row r="83">
      <c r="A83" s="8">
        <f>IF(C83="","","V"&amp;TEXT(ROW()-4,"000"))</f>
        <v/>
      </c>
      <c r="B83" s="5" t="n"/>
      <c r="C83" s="5" t="n"/>
      <c r="D83" s="5" t="n"/>
      <c r="E83" s="13" t="n"/>
      <c r="F83" s="13" t="n"/>
      <c r="G83" s="7" t="n"/>
      <c r="H83" s="9">
        <f>IF(G83="","",G83+$H$2)</f>
        <v/>
      </c>
      <c r="I83" s="5" t="n"/>
      <c r="J83" s="11">
        <f>IF(G83="","",IF(I83="Sim","Usado",IF(TODAY()&gt;H83,"Vencido",IF(H83-TODAY()&lt;=15,"Vence em breve","Ativo"))))</f>
        <v/>
      </c>
    </row>
    <row r="84">
      <c r="A84" s="8">
        <f>IF(C84="","","V"&amp;TEXT(ROW()-4,"000"))</f>
        <v/>
      </c>
      <c r="B84" s="5" t="n"/>
      <c r="C84" s="5" t="n"/>
      <c r="D84" s="5" t="n"/>
      <c r="E84" s="13" t="n"/>
      <c r="F84" s="13" t="n"/>
      <c r="G84" s="7" t="n"/>
      <c r="H84" s="9">
        <f>IF(G84="","",G84+$H$2)</f>
        <v/>
      </c>
      <c r="I84" s="5" t="n"/>
      <c r="J84" s="11">
        <f>IF(G84="","",IF(I84="Sim","Usado",IF(TODAY()&gt;H84,"Vencido",IF(H84-TODAY()&lt;=15,"Vence em breve","Ativo"))))</f>
        <v/>
      </c>
    </row>
    <row r="85">
      <c r="A85" s="8">
        <f>IF(C85="","","V"&amp;TEXT(ROW()-4,"000"))</f>
        <v/>
      </c>
      <c r="B85" s="5" t="n"/>
      <c r="C85" s="5" t="n"/>
      <c r="D85" s="5" t="n"/>
      <c r="E85" s="13" t="n"/>
      <c r="F85" s="13" t="n"/>
      <c r="G85" s="7" t="n"/>
      <c r="H85" s="9">
        <f>IF(G85="","",G85+$H$2)</f>
        <v/>
      </c>
      <c r="I85" s="5" t="n"/>
      <c r="J85" s="11">
        <f>IF(G85="","",IF(I85="Sim","Usado",IF(TODAY()&gt;H85,"Vencido",IF(H85-TODAY()&lt;=15,"Vence em breve","Ativo"))))</f>
        <v/>
      </c>
    </row>
    <row r="86">
      <c r="A86" s="8">
        <f>IF(C86="","","V"&amp;TEXT(ROW()-4,"000"))</f>
        <v/>
      </c>
      <c r="B86" s="5" t="n"/>
      <c r="C86" s="5" t="n"/>
      <c r="D86" s="5" t="n"/>
      <c r="E86" s="13" t="n"/>
      <c r="F86" s="13" t="n"/>
      <c r="G86" s="7" t="n"/>
      <c r="H86" s="9">
        <f>IF(G86="","",G86+$H$2)</f>
        <v/>
      </c>
      <c r="I86" s="5" t="n"/>
      <c r="J86" s="11">
        <f>IF(G86="","",IF(I86="Sim","Usado",IF(TODAY()&gt;H86,"Vencido",IF(H86-TODAY()&lt;=15,"Vence em breve","Ativo"))))</f>
        <v/>
      </c>
    </row>
    <row r="87">
      <c r="A87" s="8">
        <f>IF(C87="","","V"&amp;TEXT(ROW()-4,"000"))</f>
        <v/>
      </c>
      <c r="B87" s="5" t="n"/>
      <c r="C87" s="5" t="n"/>
      <c r="D87" s="5" t="n"/>
      <c r="E87" s="13" t="n"/>
      <c r="F87" s="13" t="n"/>
      <c r="G87" s="7" t="n"/>
      <c r="H87" s="9">
        <f>IF(G87="","",G87+$H$2)</f>
        <v/>
      </c>
      <c r="I87" s="5" t="n"/>
      <c r="J87" s="11">
        <f>IF(G87="","",IF(I87="Sim","Usado",IF(TODAY()&gt;H87,"Vencido",IF(H87-TODAY()&lt;=15,"Vence em breve","Ativo"))))</f>
        <v/>
      </c>
    </row>
    <row r="88">
      <c r="A88" s="8">
        <f>IF(C88="","","V"&amp;TEXT(ROW()-4,"000"))</f>
        <v/>
      </c>
      <c r="B88" s="5" t="n"/>
      <c r="C88" s="5" t="n"/>
      <c r="D88" s="5" t="n"/>
      <c r="E88" s="13" t="n"/>
      <c r="F88" s="13" t="n"/>
      <c r="G88" s="7" t="n"/>
      <c r="H88" s="9">
        <f>IF(G88="","",G88+$H$2)</f>
        <v/>
      </c>
      <c r="I88" s="5" t="n"/>
      <c r="J88" s="11">
        <f>IF(G88="","",IF(I88="Sim","Usado",IF(TODAY()&gt;H88,"Vencido",IF(H88-TODAY()&lt;=15,"Vence em breve","Ativo"))))</f>
        <v/>
      </c>
    </row>
    <row r="89">
      <c r="A89" s="8">
        <f>IF(C89="","","V"&amp;TEXT(ROW()-4,"000"))</f>
        <v/>
      </c>
      <c r="B89" s="5" t="n"/>
      <c r="C89" s="5" t="n"/>
      <c r="D89" s="5" t="n"/>
      <c r="E89" s="13" t="n"/>
      <c r="F89" s="13" t="n"/>
      <c r="G89" s="7" t="n"/>
      <c r="H89" s="9">
        <f>IF(G89="","",G89+$H$2)</f>
        <v/>
      </c>
      <c r="I89" s="5" t="n"/>
      <c r="J89" s="11">
        <f>IF(G89="","",IF(I89="Sim","Usado",IF(TODAY()&gt;H89,"Vencido",IF(H89-TODAY()&lt;=15,"Vence em breve","Ativo"))))</f>
        <v/>
      </c>
    </row>
    <row r="90">
      <c r="A90" s="8">
        <f>IF(C90="","","V"&amp;TEXT(ROW()-4,"000"))</f>
        <v/>
      </c>
      <c r="B90" s="5" t="n"/>
      <c r="C90" s="5" t="n"/>
      <c r="D90" s="5" t="n"/>
      <c r="E90" s="13" t="n"/>
      <c r="F90" s="13" t="n"/>
      <c r="G90" s="7" t="n"/>
      <c r="H90" s="9">
        <f>IF(G90="","",G90+$H$2)</f>
        <v/>
      </c>
      <c r="I90" s="5" t="n"/>
      <c r="J90" s="11">
        <f>IF(G90="","",IF(I90="Sim","Usado",IF(TODAY()&gt;H90,"Vencido",IF(H90-TODAY()&lt;=15,"Vence em breve","Ativo"))))</f>
        <v/>
      </c>
    </row>
    <row r="91">
      <c r="A91" s="8">
        <f>IF(C91="","","V"&amp;TEXT(ROW()-4,"000"))</f>
        <v/>
      </c>
      <c r="B91" s="5" t="n"/>
      <c r="C91" s="5" t="n"/>
      <c r="D91" s="5" t="n"/>
      <c r="E91" s="13" t="n"/>
      <c r="F91" s="13" t="n"/>
      <c r="G91" s="7" t="n"/>
      <c r="H91" s="9">
        <f>IF(G91="","",G91+$H$2)</f>
        <v/>
      </c>
      <c r="I91" s="5" t="n"/>
      <c r="J91" s="11">
        <f>IF(G91="","",IF(I91="Sim","Usado",IF(TODAY()&gt;H91,"Vencido",IF(H91-TODAY()&lt;=15,"Vence em breve","Ativo"))))</f>
        <v/>
      </c>
    </row>
    <row r="92">
      <c r="A92" s="8">
        <f>IF(C92="","","V"&amp;TEXT(ROW()-4,"000"))</f>
        <v/>
      </c>
      <c r="B92" s="5" t="n"/>
      <c r="C92" s="5" t="n"/>
      <c r="D92" s="5" t="n"/>
      <c r="E92" s="13" t="n"/>
      <c r="F92" s="13" t="n"/>
      <c r="G92" s="7" t="n"/>
      <c r="H92" s="9">
        <f>IF(G92="","",G92+$H$2)</f>
        <v/>
      </c>
      <c r="I92" s="5" t="n"/>
      <c r="J92" s="11">
        <f>IF(G92="","",IF(I92="Sim","Usado",IF(TODAY()&gt;H92,"Vencido",IF(H92-TODAY()&lt;=15,"Vence em breve","Ativo"))))</f>
        <v/>
      </c>
    </row>
    <row r="93">
      <c r="A93" s="8">
        <f>IF(C93="","","V"&amp;TEXT(ROW()-4,"000"))</f>
        <v/>
      </c>
      <c r="B93" s="5" t="n"/>
      <c r="C93" s="5" t="n"/>
      <c r="D93" s="5" t="n"/>
      <c r="E93" s="13" t="n"/>
      <c r="F93" s="13" t="n"/>
      <c r="G93" s="7" t="n"/>
      <c r="H93" s="9">
        <f>IF(G93="","",G93+$H$2)</f>
        <v/>
      </c>
      <c r="I93" s="5" t="n"/>
      <c r="J93" s="11">
        <f>IF(G93="","",IF(I93="Sim","Usado",IF(TODAY()&gt;H93,"Vencido",IF(H93-TODAY()&lt;=15,"Vence em breve","Ativo"))))</f>
        <v/>
      </c>
    </row>
    <row r="94">
      <c r="A94" s="8">
        <f>IF(C94="","","V"&amp;TEXT(ROW()-4,"000"))</f>
        <v/>
      </c>
      <c r="B94" s="5" t="n"/>
      <c r="C94" s="5" t="n"/>
      <c r="D94" s="5" t="n"/>
      <c r="E94" s="13" t="n"/>
      <c r="F94" s="13" t="n"/>
      <c r="G94" s="7" t="n"/>
      <c r="H94" s="9">
        <f>IF(G94="","",G94+$H$2)</f>
        <v/>
      </c>
      <c r="I94" s="5" t="n"/>
      <c r="J94" s="11">
        <f>IF(G94="","",IF(I94="Sim","Usado",IF(TODAY()&gt;H94,"Vencido",IF(H94-TODAY()&lt;=15,"Vence em breve","Ativo"))))</f>
        <v/>
      </c>
    </row>
    <row r="95">
      <c r="A95" s="8">
        <f>IF(C95="","","V"&amp;TEXT(ROW()-4,"000"))</f>
        <v/>
      </c>
      <c r="B95" s="5" t="n"/>
      <c r="C95" s="5" t="n"/>
      <c r="D95" s="5" t="n"/>
      <c r="E95" s="13" t="n"/>
      <c r="F95" s="13" t="n"/>
      <c r="G95" s="7" t="n"/>
      <c r="H95" s="9">
        <f>IF(G95="","",G95+$H$2)</f>
        <v/>
      </c>
      <c r="I95" s="5" t="n"/>
      <c r="J95" s="11">
        <f>IF(G95="","",IF(I95="Sim","Usado",IF(TODAY()&gt;H95,"Vencido",IF(H95-TODAY()&lt;=15,"Vence em breve","Ativo"))))</f>
        <v/>
      </c>
    </row>
    <row r="96">
      <c r="A96" s="8">
        <f>IF(C96="","","V"&amp;TEXT(ROW()-4,"000"))</f>
        <v/>
      </c>
      <c r="B96" s="5" t="n"/>
      <c r="C96" s="5" t="n"/>
      <c r="D96" s="5" t="n"/>
      <c r="E96" s="13" t="n"/>
      <c r="F96" s="13" t="n"/>
      <c r="G96" s="7" t="n"/>
      <c r="H96" s="9">
        <f>IF(G96="","",G96+$H$2)</f>
        <v/>
      </c>
      <c r="I96" s="5" t="n"/>
      <c r="J96" s="11">
        <f>IF(G96="","",IF(I96="Sim","Usado",IF(TODAY()&gt;H96,"Vencido",IF(H96-TODAY()&lt;=15,"Vence em breve","Ativo"))))</f>
        <v/>
      </c>
    </row>
    <row r="97">
      <c r="A97" s="8">
        <f>IF(C97="","","V"&amp;TEXT(ROW()-4,"000"))</f>
        <v/>
      </c>
      <c r="B97" s="5" t="n"/>
      <c r="C97" s="5" t="n"/>
      <c r="D97" s="5" t="n"/>
      <c r="E97" s="13" t="n"/>
      <c r="F97" s="13" t="n"/>
      <c r="G97" s="7" t="n"/>
      <c r="H97" s="9">
        <f>IF(G97="","",G97+$H$2)</f>
        <v/>
      </c>
      <c r="I97" s="5" t="n"/>
      <c r="J97" s="11">
        <f>IF(G97="","",IF(I97="Sim","Usado",IF(TODAY()&gt;H97,"Vencido",IF(H97-TODAY()&lt;=15,"Vence em breve","Ativo"))))</f>
        <v/>
      </c>
    </row>
    <row r="98">
      <c r="A98" s="8">
        <f>IF(C98="","","V"&amp;TEXT(ROW()-4,"000"))</f>
        <v/>
      </c>
      <c r="B98" s="5" t="n"/>
      <c r="C98" s="5" t="n"/>
      <c r="D98" s="5" t="n"/>
      <c r="E98" s="13" t="n"/>
      <c r="F98" s="13" t="n"/>
      <c r="G98" s="7" t="n"/>
      <c r="H98" s="9">
        <f>IF(G98="","",G98+$H$2)</f>
        <v/>
      </c>
      <c r="I98" s="5" t="n"/>
      <c r="J98" s="11">
        <f>IF(G98="","",IF(I98="Sim","Usado",IF(TODAY()&gt;H98,"Vencido",IF(H98-TODAY()&lt;=15,"Vence em breve","Ativo"))))</f>
        <v/>
      </c>
    </row>
    <row r="99">
      <c r="A99" s="8">
        <f>IF(C99="","","V"&amp;TEXT(ROW()-4,"000"))</f>
        <v/>
      </c>
      <c r="B99" s="5" t="n"/>
      <c r="C99" s="5" t="n"/>
      <c r="D99" s="5" t="n"/>
      <c r="E99" s="13" t="n"/>
      <c r="F99" s="13" t="n"/>
      <c r="G99" s="7" t="n"/>
      <c r="H99" s="9">
        <f>IF(G99="","",G99+$H$2)</f>
        <v/>
      </c>
      <c r="I99" s="5" t="n"/>
      <c r="J99" s="11">
        <f>IF(G99="","",IF(I99="Sim","Usado",IF(TODAY()&gt;H99,"Vencido",IF(H99-TODAY()&lt;=15,"Vence em breve","Ativo"))))</f>
        <v/>
      </c>
    </row>
    <row r="100">
      <c r="A100" s="8">
        <f>IF(C100="","","V"&amp;TEXT(ROW()-4,"000"))</f>
        <v/>
      </c>
      <c r="B100" s="5" t="n"/>
      <c r="C100" s="5" t="n"/>
      <c r="D100" s="5" t="n"/>
      <c r="E100" s="13" t="n"/>
      <c r="F100" s="13" t="n"/>
      <c r="G100" s="7" t="n"/>
      <c r="H100" s="9">
        <f>IF(G100="","",G100+$H$2)</f>
        <v/>
      </c>
      <c r="I100" s="5" t="n"/>
      <c r="J100" s="11">
        <f>IF(G100="","",IF(I100="Sim","Usado",IF(TODAY()&gt;H100,"Vencido",IF(H100-TODAY()&lt;=15,"Vence em breve","Ativo"))))</f>
        <v/>
      </c>
    </row>
    <row r="101">
      <c r="A101" s="8">
        <f>IF(C101="","","V"&amp;TEXT(ROW()-4,"000"))</f>
        <v/>
      </c>
      <c r="B101" s="5" t="n"/>
      <c r="C101" s="5" t="n"/>
      <c r="D101" s="5" t="n"/>
      <c r="E101" s="13" t="n"/>
      <c r="F101" s="13" t="n"/>
      <c r="G101" s="7" t="n"/>
      <c r="H101" s="9">
        <f>IF(G101="","",G101+$H$2)</f>
        <v/>
      </c>
      <c r="I101" s="5" t="n"/>
      <c r="J101" s="11">
        <f>IF(G101="","",IF(I101="Sim","Usado",IF(TODAY()&gt;H101,"Vencido",IF(H101-TODAY()&lt;=15,"Vence em breve","Ativo"))))</f>
        <v/>
      </c>
    </row>
    <row r="102">
      <c r="A102" s="8">
        <f>IF(C102="","","V"&amp;TEXT(ROW()-4,"000"))</f>
        <v/>
      </c>
      <c r="B102" s="5" t="n"/>
      <c r="C102" s="5" t="n"/>
      <c r="D102" s="5" t="n"/>
      <c r="E102" s="13" t="n"/>
      <c r="F102" s="13" t="n"/>
      <c r="G102" s="7" t="n"/>
      <c r="H102" s="9">
        <f>IF(G102="","",G102+$H$2)</f>
        <v/>
      </c>
      <c r="I102" s="5" t="n"/>
      <c r="J102" s="11">
        <f>IF(G102="","",IF(I102="Sim","Usado",IF(TODAY()&gt;H102,"Vencido",IF(H102-TODAY()&lt;=15,"Vence em breve","Ativo"))))</f>
        <v/>
      </c>
    </row>
    <row r="103">
      <c r="A103" s="8">
        <f>IF(C103="","","V"&amp;TEXT(ROW()-4,"000"))</f>
        <v/>
      </c>
      <c r="B103" s="5" t="n"/>
      <c r="C103" s="5" t="n"/>
      <c r="D103" s="5" t="n"/>
      <c r="E103" s="13" t="n"/>
      <c r="F103" s="13" t="n"/>
      <c r="G103" s="7" t="n"/>
      <c r="H103" s="9">
        <f>IF(G103="","",G103+$H$2)</f>
        <v/>
      </c>
      <c r="I103" s="5" t="n"/>
      <c r="J103" s="11">
        <f>IF(G103="","",IF(I103="Sim","Usado",IF(TODAY()&gt;H103,"Vencido",IF(H103-TODAY()&lt;=15,"Vence em breve","Ativo"))))</f>
        <v/>
      </c>
    </row>
    <row r="104">
      <c r="A104" s="8">
        <f>IF(C104="","","V"&amp;TEXT(ROW()-4,"000"))</f>
        <v/>
      </c>
      <c r="B104" s="5" t="n"/>
      <c r="C104" s="5" t="n"/>
      <c r="D104" s="5" t="n"/>
      <c r="E104" s="13" t="n"/>
      <c r="F104" s="13" t="n"/>
      <c r="G104" s="7" t="n"/>
      <c r="H104" s="9">
        <f>IF(G104="","",G104+$H$2)</f>
        <v/>
      </c>
      <c r="I104" s="5" t="n"/>
      <c r="J104" s="11">
        <f>IF(G104="","",IF(I104="Sim","Usado",IF(TODAY()&gt;H104,"Vencido",IF(H104-TODAY()&lt;=15,"Vence em breve","Ativo"))))</f>
        <v/>
      </c>
    </row>
  </sheetData>
  <conditionalFormatting sqref="J5:J104">
    <cfRule type="expression" priority="1" dxfId="1">
      <formula>$J5="Vence em breve"</formula>
    </cfRule>
    <cfRule type="expression" priority="2" dxfId="2">
      <formula>$J5="Vencido"</formula>
    </cfRule>
    <cfRule type="expression" priority="3" dxfId="0">
      <formula>$J5="Ativo"</formula>
    </cfRule>
  </conditionalFormatting>
  <dataValidations count="2">
    <dataValidation sqref="B5:B104" showDropDown="0" showInputMessage="0" showErrorMessage="0" allowBlank="1" type="list">
      <formula1>"Vale-presente,Pacote mensal,Fidelidade"</formula1>
    </dataValidation>
    <dataValidation sqref="I5:I10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2026-09-30T20:33:55Z</dcterms:created>
  <dcterms:modified xsi:type="dcterms:W3CDTF">2026-09-30T20:33:55Z</dcterms:modified>
</cp:coreProperties>
</file>