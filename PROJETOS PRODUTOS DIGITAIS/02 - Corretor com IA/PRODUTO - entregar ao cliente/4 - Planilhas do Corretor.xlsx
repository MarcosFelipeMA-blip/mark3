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ta Reversa" sheetId="2" state="visible" r:id="rId2"/>
    <sheet name="Funil" sheetId="3" state="visible" r:id="rId3"/>
    <sheet name="Painel" sheetId="4" state="visible" r:id="rId4"/>
    <sheet name="ACM" sheetId="5" state="visible" r:id="rId5"/>
    <sheet name="Captações" sheetId="6" state="visible" r:id="rId6"/>
    <sheet name="Comissões" sheetId="7" state="visible" r:id="rId7"/>
    <sheet name="Simuladores" sheetId="8" state="visible" r:id="rId8"/>
    <sheet name="Calendário 30 dias" sheetId="9" state="visible" r:id="rId9"/>
  </sheets>
  <definedNames>
    <definedName name="_xlnm._FilterDatabase" localSheetId="2" hidden="1">'Funil'!$A$9:$M$509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"/>
    <numFmt numFmtId="165" formatCode="0.0%"/>
    <numFmt numFmtId="166" formatCode="0.0"/>
    <numFmt numFmtId="167" formatCode="DD/MM/YYYY"/>
    <numFmt numFmtId="168" formatCode="0.000%"/>
  </numFmts>
  <fonts count="5">
    <font>
      <name val="Calibri"/>
      <family val="2"/>
      <color theme="1"/>
      <sz val="11"/>
      <scheme val="minor"/>
    </font>
    <font>
      <b val="1"/>
      <color rgb="001F5F8B"/>
      <sz val="16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5F8B"/>
      </patternFill>
    </fill>
    <fill>
      <patternFill patternType="solid">
        <fgColor rgb="00EEF4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2" borderId="1" pivotButton="0" quotePrefix="0" xfId="0"/>
    <xf numFmtId="165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4" borderId="1" pivotButton="0" quotePrefix="0" xfId="0"/>
    <xf numFmtId="2" fontId="4" fillId="4" borderId="1" pivotButton="0" quotePrefix="0" xfId="0"/>
    <xf numFmtId="166" fontId="4" fillId="4" borderId="1" pivotButton="0" quotePrefix="0" xfId="0"/>
    <xf numFmtId="1" fontId="4" fillId="4" borderId="1" pivotButton="0" quotePrefix="0" xfId="0"/>
    <xf numFmtId="1" fontId="0" fillId="2" borderId="1" pivotButton="0" quotePrefix="0" xfId="0"/>
    <xf numFmtId="167" fontId="0" fillId="2" borderId="1" pivotButton="0" quotePrefix="0" xfId="0"/>
    <xf numFmtId="0" fontId="0" fillId="2" borderId="1" pivotButton="0" quotePrefix="0" xfId="0"/>
    <xf numFmtId="0" fontId="0" fillId="4" borderId="1" pivotButton="0" quotePrefix="0" xfId="0"/>
    <xf numFmtId="167" fontId="0" fillId="4" borderId="1" pivotButton="0" quotePrefix="0" xfId="0"/>
    <xf numFmtId="0" fontId="4" fillId="4" borderId="1" pivotButton="0" quotePrefix="0" xfId="0"/>
    <xf numFmtId="165" fontId="4" fillId="4" borderId="1" pivotButton="0" quotePrefix="0" xfId="0"/>
    <xf numFmtId="164" fontId="0" fillId="4" borderId="1" pivotButton="0" quotePrefix="0" xfId="0"/>
    <xf numFmtId="1" fontId="0" fillId="4" borderId="1" pivotButton="0" quotePrefix="0" xfId="0"/>
    <xf numFmtId="168" fontId="4" fillId="4" borderId="1" pivotButton="0" quotePrefix="0" xfId="0"/>
    <xf numFmtId="10" fontId="4" fillId="4" borderId="1" pivotButton="0" quotePrefix="0" xfId="0"/>
  </cellXfs>
  <cellStyles count="1">
    <cellStyle name="Normal" xfId="0" builtinId="0" hidden="0"/>
  </cellStyles>
  <dxfs count="3">
    <dxf>
      <font>
        <b val="1"/>
        <color rgb="00A12622"/>
      </font>
      <fill>
        <patternFill patternType="solid">
          <fgColor rgb="00FDE2E1"/>
        </patternFill>
      </fill>
    </dxf>
    <dxf>
      <font>
        <b val="1"/>
        <color rgb="008A5A00"/>
      </font>
      <fill>
        <patternFill patternType="solid">
          <fgColor rgb="00FFF1C2"/>
        </patternFill>
      </fill>
    </dxf>
    <dxf>
      <font>
        <b val="1"/>
        <color rgb="001E6B3C"/>
      </font>
      <fill>
        <patternFill patternType="solid">
          <fgColor rgb="00E3F4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Planilhas do Corretor</t>
        </is>
      </c>
    </row>
    <row r="2">
      <c r="A2" s="2" t="inlineStr">
        <is>
          <t>Preencha só as células AMARELAS. As células coloridas são calculadas sozinhas.</t>
        </is>
      </c>
    </row>
    <row r="4">
      <c r="A4" s="3" t="inlineStr">
        <is>
          <t>COMO USAR</t>
        </is>
      </c>
    </row>
    <row r="5">
      <c r="A5" s="3" t="inlineStr">
        <is>
          <t>1. 'Meta Reversa': diga quanto quer ganhar e suas taxas de conversão. Descubra quantos leads, atendimentos e visitas precisa por semana.</t>
        </is>
      </c>
    </row>
    <row r="6">
      <c r="A6" s="3" t="inlineStr">
        <is>
          <t>2. 'Funil': cadastre cada lead. Na coluna Etapa use 1=Lead, 2=Atendimento, 3=Visita, 4=Proposta, 5=Venda. Atualize o 'Último contato'.</t>
        </is>
      </c>
    </row>
    <row r="7">
      <c r="A7" s="3" t="inlineStr">
        <is>
          <t xml:space="preserve">   A coluna 'Próximo contato' segue a cadência de acompanhamento. Vermelho = atrasado. Amarelo = hoje.</t>
        </is>
      </c>
    </row>
    <row r="8">
      <c r="A8" s="3" t="inlineStr">
        <is>
          <t>3. 'Painel': mostra suas taxas reais de conversão e onde está o gargalo. Depois de 2 ou 3 meses, use essas taxas na Meta Reversa.</t>
        </is>
      </c>
    </row>
    <row r="9">
      <c r="A9" s="3" t="inlineStr">
        <is>
          <t>4. 'ACM': análise comparativa de mercado. Coloque imóveis parecidos e veja o preço por m² e a faixa de preço sugerida.</t>
        </is>
      </c>
    </row>
    <row r="10">
      <c r="A10" s="3" t="inlineStr">
        <is>
          <t>5. 'Captações': controle prazos de exclusividade e imóveis que precisam de revisão de preço.</t>
        </is>
      </c>
    </row>
    <row r="11">
      <c r="A11" s="3" t="inlineStr">
        <is>
          <t>6. 'Comissões': o que você já recebeu e o que ainda vai receber.</t>
        </is>
      </c>
    </row>
    <row r="12">
      <c r="A12" s="3" t="inlineStr">
        <is>
          <t>7. 'Simuladores': custos da compra, SAC x Price e rentabilidade de aluguel. São ESTIMATIVAS: os valores oficiais vêm do banco, prefeitura e cartório.</t>
        </is>
      </c>
    </row>
    <row r="13">
      <c r="A13" s="3" t="inlineStr">
        <is>
          <t>8. 'Calendário 30 dias': o que postar em cada dia, com o prompt da Biblioteca.</t>
        </is>
      </c>
    </row>
    <row r="14">
      <c r="A14" s="3" t="inlineStr"/>
    </row>
    <row r="15">
      <c r="A15" s="3" t="inlineStr">
        <is>
          <t>Preencha só as células AMARELAS. Datas no formato dia/mês/ano. Funciona no Excel e no Google Planilhas.</t>
        </is>
      </c>
    </row>
    <row r="16">
      <c r="A16" s="3" t="inlineStr">
        <is>
          <t>Os valores já preenchidos são EXEMPLOS: troque pelos seus.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</cols>
  <sheetData>
    <row r="1">
      <c r="A1" s="1" t="inlineStr">
        <is>
          <t>Meta reversa</t>
        </is>
      </c>
    </row>
    <row r="2">
      <c r="A2" s="2" t="inlineStr">
        <is>
          <t>Comece pelo quanto quer ganhar e descubra o que precisa fazer por semana.</t>
        </is>
      </c>
    </row>
    <row r="4">
      <c r="A4" t="inlineStr">
        <is>
          <t>Quanto quero ganhar por mês (R$)</t>
        </is>
      </c>
      <c r="B4" s="4" t="n">
        <v>10000</v>
      </c>
    </row>
    <row r="5">
      <c r="A5" t="inlineStr">
        <is>
          <t>Ticket médio dos imóveis (R$)</t>
        </is>
      </c>
      <c r="B5" s="4" t="n">
        <v>500000</v>
      </c>
    </row>
    <row r="6">
      <c r="A6" t="inlineStr">
        <is>
          <t>Comissão total da venda (%)</t>
        </is>
      </c>
      <c r="B6" s="5" t="n">
        <v>0.06</v>
      </c>
    </row>
    <row r="7">
      <c r="A7" t="inlineStr">
        <is>
          <t>Minha parte da comissão (%)</t>
        </is>
      </c>
      <c r="B7" s="5" t="n">
        <v>0.5</v>
      </c>
    </row>
    <row r="8">
      <c r="A8" t="inlineStr">
        <is>
          <t>Lead → atendimento (%)</t>
        </is>
      </c>
      <c r="B8" s="5" t="n">
        <v>0.5</v>
      </c>
      <c r="C8" s="2" t="inlineStr">
        <is>
          <t>← taxas de referência para começar. Use as suas reais do 'Painel'.</t>
        </is>
      </c>
    </row>
    <row r="9">
      <c r="A9" t="inlineStr">
        <is>
          <t>Atendimento → visita (%)</t>
        </is>
      </c>
      <c r="B9" s="5" t="n">
        <v>0.33</v>
      </c>
    </row>
    <row r="10">
      <c r="A10" t="inlineStr">
        <is>
          <t>Visita → proposta (%)</t>
        </is>
      </c>
      <c r="B10" s="5" t="n">
        <v>0.2</v>
      </c>
    </row>
    <row r="11">
      <c r="A11" t="inlineStr">
        <is>
          <t>Proposta → venda (%)</t>
        </is>
      </c>
      <c r="B11" s="5" t="n">
        <v>0.25</v>
      </c>
    </row>
    <row r="13" ht="32" customHeight="1">
      <c r="A13" s="6" t="inlineStr">
        <is>
          <t>Resultado</t>
        </is>
      </c>
      <c r="B13" s="6" t="inlineStr">
        <is>
          <t>Por mês</t>
        </is>
      </c>
      <c r="C13" s="6" t="inlineStr">
        <is>
          <t>Por semana</t>
        </is>
      </c>
    </row>
    <row r="14">
      <c r="A14" s="7" t="inlineStr">
        <is>
          <t>Minha comissão por venda</t>
        </is>
      </c>
      <c r="B14" s="8">
        <f>B5*B6*B7</f>
        <v/>
      </c>
    </row>
    <row r="15">
      <c r="A15" s="7" t="inlineStr">
        <is>
          <t>Vendas necessárias</t>
        </is>
      </c>
      <c r="B15" s="9">
        <f>IF(B14=0,0,B4/B14)</f>
        <v/>
      </c>
      <c r="C15" s="9">
        <f>B15/4.3</f>
        <v/>
      </c>
    </row>
    <row r="16">
      <c r="A16" s="7" t="inlineStr">
        <is>
          <t>Propostas necessárias</t>
        </is>
      </c>
      <c r="B16" s="10">
        <f>IF(B11=0,0,B15/B11)</f>
        <v/>
      </c>
      <c r="C16" s="10">
        <f>B16/4.3</f>
        <v/>
      </c>
    </row>
    <row r="17">
      <c r="A17" s="7" t="inlineStr">
        <is>
          <t>Visitas necessárias</t>
        </is>
      </c>
      <c r="B17" s="10">
        <f>IF(B10=0,0,B16/B10)</f>
        <v/>
      </c>
      <c r="C17" s="10">
        <f>B17/4.3</f>
        <v/>
      </c>
    </row>
    <row r="18">
      <c r="A18" s="7" t="inlineStr">
        <is>
          <t>Atendimentos necessários</t>
        </is>
      </c>
      <c r="B18" s="10">
        <f>IF(B9=0,0,B17/B9)</f>
        <v/>
      </c>
      <c r="C18" s="10">
        <f>B18/4.3</f>
        <v/>
      </c>
    </row>
    <row r="19">
      <c r="A19" s="7" t="inlineStr">
        <is>
          <t>Leads necessários</t>
        </is>
      </c>
      <c r="B19" s="11">
        <f>IF(B8=0,0,B18/B8)</f>
        <v/>
      </c>
      <c r="C19" s="11">
        <f>B19/4.3</f>
        <v/>
      </c>
    </row>
    <row r="21">
      <c r="A21" s="2" t="inlineStr">
        <is>
          <t>Leitura: 0,67 venda por mês = 2 vendas a cada 3 meses. Se os leads necessários forem muitos, melhore a taxa do gargalo antes de buscar mais leads.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1" customWidth="1" min="5" max="5"/>
    <col width="30" customWidth="1" min="6" max="6"/>
    <col width="9" customWidth="1" min="7" max="7"/>
    <col width="13" customWidth="1" min="8" max="8"/>
    <col width="13" customWidth="1" min="9" max="9"/>
    <col width="13" customWidth="1" min="10" max="10"/>
    <col width="12" customWidth="1" min="11" max="11"/>
    <col width="9" customWidth="1" min="12" max="12"/>
    <col width="30" customWidth="1" min="13" max="13"/>
    <col width="12" customWidth="1" min="14" max="14"/>
    <col width="8" customWidth="1" min="15" max="15"/>
  </cols>
  <sheetData>
    <row r="1">
      <c r="A1" s="1" t="inlineStr">
        <is>
          <t>Funil de leads</t>
        </is>
      </c>
      <c r="M1" t="inlineStr">
        <is>
          <t>Cadência (dias até o próximo contato)</t>
        </is>
      </c>
    </row>
    <row r="2">
      <c r="A2" s="2" t="inlineStr">
        <is>
          <t>Etapa: 1=Lead  2=Atendimento  3=Visita  4=Proposta  5=Venda.  Marque 'Perdido' = Sim quando o lead desistir.</t>
        </is>
      </c>
      <c r="M2" t="inlineStr">
        <is>
          <t>Etapa → dias</t>
        </is>
      </c>
    </row>
    <row r="3">
      <c r="M3" t="n">
        <v>1</v>
      </c>
      <c r="N3" s="12" t="n">
        <v>1</v>
      </c>
    </row>
    <row r="4">
      <c r="M4" t="n">
        <v>2</v>
      </c>
      <c r="N4" s="12" t="n">
        <v>3</v>
      </c>
    </row>
    <row r="5">
      <c r="M5" t="n">
        <v>3</v>
      </c>
      <c r="N5" s="12" t="n">
        <v>2</v>
      </c>
    </row>
    <row r="6">
      <c r="M6" t="n">
        <v>4</v>
      </c>
      <c r="N6" s="12" t="n">
        <v>1</v>
      </c>
    </row>
    <row r="7">
      <c r="M7" t="n">
        <v>5</v>
      </c>
      <c r="N7" s="12" t="n">
        <v>30</v>
      </c>
    </row>
    <row r="9" ht="36" customHeight="1">
      <c r="A9" s="6" t="inlineStr">
        <is>
          <t>Entrada</t>
        </is>
      </c>
      <c r="B9" s="6" t="inlineStr">
        <is>
          <t>Nome</t>
        </is>
      </c>
      <c r="C9" s="6" t="inlineStr">
        <is>
          <t>WhatsApp</t>
        </is>
      </c>
      <c r="D9" s="6" t="inlineStr">
        <is>
          <t>Origem</t>
        </is>
      </c>
      <c r="E9" s="6" t="inlineStr">
        <is>
          <t>Finalidade</t>
        </is>
      </c>
      <c r="F9" s="6" t="inlineStr">
        <is>
          <t>Interesse (tipo, bairro, faixa)</t>
        </is>
      </c>
      <c r="G9" s="6" t="inlineStr">
        <is>
          <t>Etapa (1-5)</t>
        </is>
      </c>
      <c r="H9" s="6" t="inlineStr">
        <is>
          <t>Etapa</t>
        </is>
      </c>
      <c r="I9" s="6" t="inlineStr">
        <is>
          <t>Último contato</t>
        </is>
      </c>
      <c r="J9" s="6" t="inlineStr">
        <is>
          <t>Próximo contato</t>
        </is>
      </c>
      <c r="K9" s="6" t="inlineStr">
        <is>
          <t>Situação</t>
        </is>
      </c>
      <c r="L9" s="6" t="inlineStr">
        <is>
          <t>Perdido?</t>
        </is>
      </c>
      <c r="M9" s="6" t="inlineStr">
        <is>
          <t>Motivo da perda / notas</t>
        </is>
      </c>
    </row>
    <row r="10">
      <c r="A10" s="13">
        <f>TODAY()-12</f>
        <v/>
      </c>
      <c r="B10" s="14" t="inlineStr">
        <is>
          <t>Rafael (exemplo)</t>
        </is>
      </c>
      <c r="C10" s="14" t="n"/>
      <c r="D10" s="14" t="inlineStr">
        <is>
          <t>Portal</t>
        </is>
      </c>
      <c r="E10" s="14" t="inlineStr">
        <is>
          <t>Morar</t>
        </is>
      </c>
      <c r="F10" s="14" t="inlineStr">
        <is>
          <t>2 dorms Tatuapé até 550 mil</t>
        </is>
      </c>
      <c r="G10" s="14" t="n">
        <v>3</v>
      </c>
      <c r="H10" s="15">
        <f>IF(G10="","",CHOOSE(G10,"Lead","Atendimento","Visita","Proposta","Venda"))</f>
        <v/>
      </c>
      <c r="I10" s="13">
        <f>TODAY()-5</f>
        <v/>
      </c>
      <c r="J10" s="16">
        <f>IF(OR(G10="",I10="",L10="Sim"),"",I10+VLOOKUP(G10,$M$3:$N$7,2,FALSE))</f>
        <v/>
      </c>
      <c r="K10" s="17">
        <f>IF(L10="Sim","Perdido",IF(J10="","",IF(J10&lt;TODAY(),"ATRASADO",IF(J10=TODAY(),"Hoje","Em dia"))))</f>
        <v/>
      </c>
      <c r="L10" s="14" t="inlineStr">
        <is>
          <t>Não</t>
        </is>
      </c>
      <c r="M10" s="14" t="n"/>
    </row>
    <row r="11">
      <c r="A11" s="13">
        <f>TODAY()-3</f>
        <v/>
      </c>
      <c r="B11" s="14" t="inlineStr">
        <is>
          <t>Juliana (exemplo)</t>
        </is>
      </c>
      <c r="C11" s="14" t="n"/>
      <c r="D11" s="14" t="inlineStr">
        <is>
          <t>Instagram</t>
        </is>
      </c>
      <c r="E11" s="14" t="inlineStr">
        <is>
          <t>Morar</t>
        </is>
      </c>
      <c r="F11" s="14" t="inlineStr">
        <is>
          <t>3 dorms Mooca</t>
        </is>
      </c>
      <c r="G11" s="14" t="n">
        <v>2</v>
      </c>
      <c r="H11" s="15">
        <f>IF(G11="","",CHOOSE(G11,"Lead","Atendimento","Visita","Proposta","Venda"))</f>
        <v/>
      </c>
      <c r="I11" s="13">
        <f>TODAY()-1</f>
        <v/>
      </c>
      <c r="J11" s="16">
        <f>IF(OR(G11="",I11="",L11="Sim"),"",I11+VLOOKUP(G11,$M$3:$N$7,2,FALSE))</f>
        <v/>
      </c>
      <c r="K11" s="17">
        <f>IF(L11="Sim","Perdido",IF(J11="","",IF(J11&lt;TODAY(),"ATRASADO",IF(J11=TODAY(),"Hoje","Em dia"))))</f>
        <v/>
      </c>
      <c r="L11" s="14" t="inlineStr">
        <is>
          <t>Não</t>
        </is>
      </c>
      <c r="M11" s="14" t="n"/>
    </row>
    <row r="12">
      <c r="A12" s="13">
        <f>TODAY()-20</f>
        <v/>
      </c>
      <c r="B12" s="14" t="inlineStr">
        <is>
          <t>Marcos (exemplo)</t>
        </is>
      </c>
      <c r="C12" s="14" t="n"/>
      <c r="D12" s="14" t="inlineStr">
        <is>
          <t>Indicação</t>
        </is>
      </c>
      <c r="E12" s="14" t="inlineStr">
        <is>
          <t>Investir</t>
        </is>
      </c>
      <c r="F12" s="14" t="inlineStr">
        <is>
          <t>Studio perto do metrô</t>
        </is>
      </c>
      <c r="G12" s="14" t="n">
        <v>4</v>
      </c>
      <c r="H12" s="15">
        <f>IF(G12="","",CHOOSE(G12,"Lead","Atendimento","Visita","Proposta","Venda"))</f>
        <v/>
      </c>
      <c r="I12" s="13">
        <f>TODAY()-1</f>
        <v/>
      </c>
      <c r="J12" s="16">
        <f>IF(OR(G12="",I12="",L12="Sim"),"",I12+VLOOKUP(G12,$M$3:$N$7,2,FALSE))</f>
        <v/>
      </c>
      <c r="K12" s="17">
        <f>IF(L12="Sim","Perdido",IF(J12="","",IF(J12&lt;TODAY(),"ATRASADO",IF(J12=TODAY(),"Hoje","Em dia"))))</f>
        <v/>
      </c>
      <c r="L12" s="14" t="inlineStr">
        <is>
          <t>Não</t>
        </is>
      </c>
      <c r="M12" s="14" t="n"/>
    </row>
    <row r="13">
      <c r="A13" s="13" t="n"/>
      <c r="B13" s="14" t="n"/>
      <c r="C13" s="14" t="n"/>
      <c r="D13" s="14" t="n"/>
      <c r="E13" s="14" t="n"/>
      <c r="F13" s="14" t="n"/>
      <c r="G13" s="14" t="n"/>
      <c r="H13" s="15">
        <f>IF(G13="","",CHOOSE(G13,"Lead","Atendimento","Visita","Proposta","Venda"))</f>
        <v/>
      </c>
      <c r="I13" s="13" t="n"/>
      <c r="J13" s="16">
        <f>IF(OR(G13="",I13="",L13="Sim"),"",I13+VLOOKUP(G13,$M$3:$N$7,2,FALSE))</f>
        <v/>
      </c>
      <c r="K13" s="17">
        <f>IF(L13="Sim","Perdido",IF(J13="","",IF(J13&lt;TODAY(),"ATRASADO",IF(J13=TODAY(),"Hoje","Em dia"))))</f>
        <v/>
      </c>
      <c r="L13" s="14" t="n"/>
      <c r="M13" s="14" t="n"/>
    </row>
    <row r="14">
      <c r="A14" s="13" t="n"/>
      <c r="B14" s="14" t="n"/>
      <c r="C14" s="14" t="n"/>
      <c r="D14" s="14" t="n"/>
      <c r="E14" s="14" t="n"/>
      <c r="F14" s="14" t="n"/>
      <c r="G14" s="14" t="n"/>
      <c r="H14" s="15">
        <f>IF(G14="","",CHOOSE(G14,"Lead","Atendimento","Visita","Proposta","Venda"))</f>
        <v/>
      </c>
      <c r="I14" s="13" t="n"/>
      <c r="J14" s="16">
        <f>IF(OR(G14="",I14="",L14="Sim"),"",I14+VLOOKUP(G14,$M$3:$N$7,2,FALSE))</f>
        <v/>
      </c>
      <c r="K14" s="17">
        <f>IF(L14="Sim","Perdido",IF(J14="","",IF(J14&lt;TODAY(),"ATRASADO",IF(J14=TODAY(),"Hoje","Em dia"))))</f>
        <v/>
      </c>
      <c r="L14" s="14" t="n"/>
      <c r="M14" s="14" t="n"/>
    </row>
    <row r="15">
      <c r="A15" s="13" t="n"/>
      <c r="B15" s="14" t="n"/>
      <c r="C15" s="14" t="n"/>
      <c r="D15" s="14" t="n"/>
      <c r="E15" s="14" t="n"/>
      <c r="F15" s="14" t="n"/>
      <c r="G15" s="14" t="n"/>
      <c r="H15" s="15">
        <f>IF(G15="","",CHOOSE(G15,"Lead","Atendimento","Visita","Proposta","Venda"))</f>
        <v/>
      </c>
      <c r="I15" s="13" t="n"/>
      <c r="J15" s="16">
        <f>IF(OR(G15="",I15="",L15="Sim"),"",I15+VLOOKUP(G15,$M$3:$N$7,2,FALSE))</f>
        <v/>
      </c>
      <c r="K15" s="17">
        <f>IF(L15="Sim","Perdido",IF(J15="","",IF(J15&lt;TODAY(),"ATRASADO",IF(J15=TODAY(),"Hoje","Em dia"))))</f>
        <v/>
      </c>
      <c r="L15" s="14" t="n"/>
      <c r="M15" s="14" t="n"/>
    </row>
    <row r="16">
      <c r="A16" s="13" t="n"/>
      <c r="B16" s="14" t="n"/>
      <c r="C16" s="14" t="n"/>
      <c r="D16" s="14" t="n"/>
      <c r="E16" s="14" t="n"/>
      <c r="F16" s="14" t="n"/>
      <c r="G16" s="14" t="n"/>
      <c r="H16" s="15">
        <f>IF(G16="","",CHOOSE(G16,"Lead","Atendimento","Visita","Proposta","Venda"))</f>
        <v/>
      </c>
      <c r="I16" s="13" t="n"/>
      <c r="J16" s="16">
        <f>IF(OR(G16="",I16="",L16="Sim"),"",I16+VLOOKUP(G16,$M$3:$N$7,2,FALSE))</f>
        <v/>
      </c>
      <c r="K16" s="17">
        <f>IF(L16="Sim","Perdido",IF(J16="","",IF(J16&lt;TODAY(),"ATRASADO",IF(J16=TODAY(),"Hoje","Em dia"))))</f>
        <v/>
      </c>
      <c r="L16" s="14" t="n"/>
      <c r="M16" s="14" t="n"/>
    </row>
    <row r="17">
      <c r="A17" s="13" t="n"/>
      <c r="B17" s="14" t="n"/>
      <c r="C17" s="14" t="n"/>
      <c r="D17" s="14" t="n"/>
      <c r="E17" s="14" t="n"/>
      <c r="F17" s="14" t="n"/>
      <c r="G17" s="14" t="n"/>
      <c r="H17" s="15">
        <f>IF(G17="","",CHOOSE(G17,"Lead","Atendimento","Visita","Proposta","Venda"))</f>
        <v/>
      </c>
      <c r="I17" s="13" t="n"/>
      <c r="J17" s="16">
        <f>IF(OR(G17="",I17="",L17="Sim"),"",I17+VLOOKUP(G17,$M$3:$N$7,2,FALSE))</f>
        <v/>
      </c>
      <c r="K17" s="17">
        <f>IF(L17="Sim","Perdido",IF(J17="","",IF(J17&lt;TODAY(),"ATRASADO",IF(J17=TODAY(),"Hoje","Em dia"))))</f>
        <v/>
      </c>
      <c r="L17" s="14" t="n"/>
      <c r="M17" s="14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>
        <f>IF(G18="","",CHOOSE(G18,"Lead","Atendimento","Visita","Proposta","Venda"))</f>
        <v/>
      </c>
      <c r="I18" s="13" t="n"/>
      <c r="J18" s="16">
        <f>IF(OR(G18="",I18="",L18="Sim"),"",I18+VLOOKUP(G18,$M$3:$N$7,2,FALSE))</f>
        <v/>
      </c>
      <c r="K18" s="17">
        <f>IF(L18="Sim","Perdido",IF(J18="","",IF(J18&lt;TODAY(),"ATRASADO",IF(J18=TODAY(),"Hoje","Em dia"))))</f>
        <v/>
      </c>
      <c r="L18" s="14" t="n"/>
      <c r="M18" s="14" t="n"/>
    </row>
    <row r="19">
      <c r="A19" s="13" t="n"/>
      <c r="B19" s="14" t="n"/>
      <c r="C19" s="14" t="n"/>
      <c r="D19" s="14" t="n"/>
      <c r="E19" s="14" t="n"/>
      <c r="F19" s="14" t="n"/>
      <c r="G19" s="14" t="n"/>
      <c r="H19" s="15">
        <f>IF(G19="","",CHOOSE(G19,"Lead","Atendimento","Visita","Proposta","Venda"))</f>
        <v/>
      </c>
      <c r="I19" s="13" t="n"/>
      <c r="J19" s="16">
        <f>IF(OR(G19="",I19="",L19="Sim"),"",I19+VLOOKUP(G19,$M$3:$N$7,2,FALSE))</f>
        <v/>
      </c>
      <c r="K19" s="17">
        <f>IF(L19="Sim","Perdido",IF(J19="","",IF(J19&lt;TODAY(),"ATRASADO",IF(J19=TODAY(),"Hoje","Em dia"))))</f>
        <v/>
      </c>
      <c r="L19" s="14" t="n"/>
      <c r="M19" s="14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5">
        <f>IF(G20="","",CHOOSE(G20,"Lead","Atendimento","Visita","Proposta","Venda"))</f>
        <v/>
      </c>
      <c r="I20" s="13" t="n"/>
      <c r="J20" s="16">
        <f>IF(OR(G20="",I20="",L20="Sim"),"",I20+VLOOKUP(G20,$M$3:$N$7,2,FALSE))</f>
        <v/>
      </c>
      <c r="K20" s="17">
        <f>IF(L20="Sim","Perdido",IF(J20="","",IF(J20&lt;TODAY(),"ATRASADO",IF(J20=TODAY(),"Hoje","Em dia"))))</f>
        <v/>
      </c>
      <c r="L20" s="14" t="n"/>
      <c r="M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5">
        <f>IF(G21="","",CHOOSE(G21,"Lead","Atendimento","Visita","Proposta","Venda"))</f>
        <v/>
      </c>
      <c r="I21" s="13" t="n"/>
      <c r="J21" s="16">
        <f>IF(OR(G21="",I21="",L21="Sim"),"",I21+VLOOKUP(G21,$M$3:$N$7,2,FALSE))</f>
        <v/>
      </c>
      <c r="K21" s="17">
        <f>IF(L21="Sim","Perdido",IF(J21="","",IF(J21&lt;TODAY(),"ATRASADO",IF(J21=TODAY(),"Hoje","Em dia"))))</f>
        <v/>
      </c>
      <c r="L21" s="14" t="n"/>
      <c r="M21" s="14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5">
        <f>IF(G22="","",CHOOSE(G22,"Lead","Atendimento","Visita","Proposta","Venda"))</f>
        <v/>
      </c>
      <c r="I22" s="13" t="n"/>
      <c r="J22" s="16">
        <f>IF(OR(G22="",I22="",L22="Sim"),"",I22+VLOOKUP(G22,$M$3:$N$7,2,FALSE))</f>
        <v/>
      </c>
      <c r="K22" s="17">
        <f>IF(L22="Sim","Perdido",IF(J22="","",IF(J22&lt;TODAY(),"ATRASADO",IF(J22=TODAY(),"Hoje","Em dia"))))</f>
        <v/>
      </c>
      <c r="L22" s="14" t="n"/>
      <c r="M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5">
        <f>IF(G23="","",CHOOSE(G23,"Lead","Atendimento","Visita","Proposta","Venda"))</f>
        <v/>
      </c>
      <c r="I23" s="13" t="n"/>
      <c r="J23" s="16">
        <f>IF(OR(G23="",I23="",L23="Sim"),"",I23+VLOOKUP(G23,$M$3:$N$7,2,FALSE))</f>
        <v/>
      </c>
      <c r="K23" s="17">
        <f>IF(L23="Sim","Perdido",IF(J23="","",IF(J23&lt;TODAY(),"ATRASADO",IF(J23=TODAY(),"Hoje","Em dia"))))</f>
        <v/>
      </c>
      <c r="L23" s="14" t="n"/>
      <c r="M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5">
        <f>IF(G24="","",CHOOSE(G24,"Lead","Atendimento","Visita","Proposta","Venda"))</f>
        <v/>
      </c>
      <c r="I24" s="13" t="n"/>
      <c r="J24" s="16">
        <f>IF(OR(G24="",I24="",L24="Sim"),"",I24+VLOOKUP(G24,$M$3:$N$7,2,FALSE))</f>
        <v/>
      </c>
      <c r="K24" s="17">
        <f>IF(L24="Sim","Perdido",IF(J24="","",IF(J24&lt;TODAY(),"ATRASADO",IF(J24=TODAY(),"Hoje","Em dia"))))</f>
        <v/>
      </c>
      <c r="L24" s="14" t="n"/>
      <c r="M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5">
        <f>IF(G25="","",CHOOSE(G25,"Lead","Atendimento","Visita","Proposta","Venda"))</f>
        <v/>
      </c>
      <c r="I25" s="13" t="n"/>
      <c r="J25" s="16">
        <f>IF(OR(G25="",I25="",L25="Sim"),"",I25+VLOOKUP(G25,$M$3:$N$7,2,FALSE))</f>
        <v/>
      </c>
      <c r="K25" s="17">
        <f>IF(L25="Sim","Perdido",IF(J25="","",IF(J25&lt;TODAY(),"ATRASADO",IF(J25=TODAY(),"Hoje","Em dia"))))</f>
        <v/>
      </c>
      <c r="L25" s="14" t="n"/>
      <c r="M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5">
        <f>IF(G26="","",CHOOSE(G26,"Lead","Atendimento","Visita","Proposta","Venda"))</f>
        <v/>
      </c>
      <c r="I26" s="13" t="n"/>
      <c r="J26" s="16">
        <f>IF(OR(G26="",I26="",L26="Sim"),"",I26+VLOOKUP(G26,$M$3:$N$7,2,FALSE))</f>
        <v/>
      </c>
      <c r="K26" s="17">
        <f>IF(L26="Sim","Perdido",IF(J26="","",IF(J26&lt;TODAY(),"ATRASADO",IF(J26=TODAY(),"Hoje","Em dia"))))</f>
        <v/>
      </c>
      <c r="L26" s="14" t="n"/>
      <c r="M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>
        <f>IF(G27="","",CHOOSE(G27,"Lead","Atendimento","Visita","Proposta","Venda"))</f>
        <v/>
      </c>
      <c r="I27" s="13" t="n"/>
      <c r="J27" s="16">
        <f>IF(OR(G27="",I27="",L27="Sim"),"",I27+VLOOKUP(G27,$M$3:$N$7,2,FALSE))</f>
        <v/>
      </c>
      <c r="K27" s="17">
        <f>IF(L27="Sim","Perdido",IF(J27="","",IF(J27&lt;TODAY(),"ATRASADO",IF(J27=TODAY(),"Hoje","Em dia"))))</f>
        <v/>
      </c>
      <c r="L27" s="14" t="n"/>
      <c r="M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>
        <f>IF(G28="","",CHOOSE(G28,"Lead","Atendimento","Visita","Proposta","Venda"))</f>
        <v/>
      </c>
      <c r="I28" s="13" t="n"/>
      <c r="J28" s="16">
        <f>IF(OR(G28="",I28="",L28="Sim"),"",I28+VLOOKUP(G28,$M$3:$N$7,2,FALSE))</f>
        <v/>
      </c>
      <c r="K28" s="17">
        <f>IF(L28="Sim","Perdido",IF(J28="","",IF(J28&lt;TODAY(),"ATRASADO",IF(J28=TODAY(),"Hoje","Em dia"))))</f>
        <v/>
      </c>
      <c r="L28" s="14" t="n"/>
      <c r="M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>
        <f>IF(G29="","",CHOOSE(G29,"Lead","Atendimento","Visita","Proposta","Venda"))</f>
        <v/>
      </c>
      <c r="I29" s="13" t="n"/>
      <c r="J29" s="16">
        <f>IF(OR(G29="",I29="",L29="Sim"),"",I29+VLOOKUP(G29,$M$3:$N$7,2,FALSE))</f>
        <v/>
      </c>
      <c r="K29" s="17">
        <f>IF(L29="Sim","Perdido",IF(J29="","",IF(J29&lt;TODAY(),"ATRASADO",IF(J29=TODAY(),"Hoje","Em dia"))))</f>
        <v/>
      </c>
      <c r="L29" s="14" t="n"/>
      <c r="M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>
        <f>IF(G30="","",CHOOSE(G30,"Lead","Atendimento","Visita","Proposta","Venda"))</f>
        <v/>
      </c>
      <c r="I30" s="13" t="n"/>
      <c r="J30" s="16">
        <f>IF(OR(G30="",I30="",L30="Sim"),"",I30+VLOOKUP(G30,$M$3:$N$7,2,FALSE))</f>
        <v/>
      </c>
      <c r="K30" s="17">
        <f>IF(L30="Sim","Perdido",IF(J30="","",IF(J30&lt;TODAY(),"ATRASADO",IF(J30=TODAY(),"Hoje","Em dia"))))</f>
        <v/>
      </c>
      <c r="L30" s="14" t="n"/>
      <c r="M30" s="14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>
        <f>IF(G31="","",CHOOSE(G31,"Lead","Atendimento","Visita","Proposta","Venda"))</f>
        <v/>
      </c>
      <c r="I31" s="13" t="n"/>
      <c r="J31" s="16">
        <f>IF(OR(G31="",I31="",L31="Sim"),"",I31+VLOOKUP(G31,$M$3:$N$7,2,FALSE))</f>
        <v/>
      </c>
      <c r="K31" s="17">
        <f>IF(L31="Sim","Perdido",IF(J31="","",IF(J31&lt;TODAY(),"ATRASADO",IF(J31=TODAY(),"Hoje","Em dia"))))</f>
        <v/>
      </c>
      <c r="L31" s="14" t="n"/>
      <c r="M31" s="14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>
        <f>IF(G32="","",CHOOSE(G32,"Lead","Atendimento","Visita","Proposta","Venda"))</f>
        <v/>
      </c>
      <c r="I32" s="13" t="n"/>
      <c r="J32" s="16">
        <f>IF(OR(G32="",I32="",L32="Sim"),"",I32+VLOOKUP(G32,$M$3:$N$7,2,FALSE))</f>
        <v/>
      </c>
      <c r="K32" s="17">
        <f>IF(L32="Sim","Perdido",IF(J32="","",IF(J32&lt;TODAY(),"ATRASADO",IF(J32=TODAY(),"Hoje","Em dia"))))</f>
        <v/>
      </c>
      <c r="L32" s="14" t="n"/>
      <c r="M32" s="14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>
        <f>IF(G33="","",CHOOSE(G33,"Lead","Atendimento","Visita","Proposta","Venda"))</f>
        <v/>
      </c>
      <c r="I33" s="13" t="n"/>
      <c r="J33" s="16">
        <f>IF(OR(G33="",I33="",L33="Sim"),"",I33+VLOOKUP(G33,$M$3:$N$7,2,FALSE))</f>
        <v/>
      </c>
      <c r="K33" s="17">
        <f>IF(L33="Sim","Perdido",IF(J33="","",IF(J33&lt;TODAY(),"ATRASADO",IF(J33=TODAY(),"Hoje","Em dia"))))</f>
        <v/>
      </c>
      <c r="L33" s="14" t="n"/>
      <c r="M33" s="14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>
        <f>IF(G34="","",CHOOSE(G34,"Lead","Atendimento","Visita","Proposta","Venda"))</f>
        <v/>
      </c>
      <c r="I34" s="13" t="n"/>
      <c r="J34" s="16">
        <f>IF(OR(G34="",I34="",L34="Sim"),"",I34+VLOOKUP(G34,$M$3:$N$7,2,FALSE))</f>
        <v/>
      </c>
      <c r="K34" s="17">
        <f>IF(L34="Sim","Perdido",IF(J34="","",IF(J34&lt;TODAY(),"ATRASADO",IF(J34=TODAY(),"Hoje","Em dia"))))</f>
        <v/>
      </c>
      <c r="L34" s="14" t="n"/>
      <c r="M34" s="14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>
        <f>IF(G35="","",CHOOSE(G35,"Lead","Atendimento","Visita","Proposta","Venda"))</f>
        <v/>
      </c>
      <c r="I35" s="13" t="n"/>
      <c r="J35" s="16">
        <f>IF(OR(G35="",I35="",L35="Sim"),"",I35+VLOOKUP(G35,$M$3:$N$7,2,FALSE))</f>
        <v/>
      </c>
      <c r="K35" s="17">
        <f>IF(L35="Sim","Perdido",IF(J35="","",IF(J35&lt;TODAY(),"ATRASADO",IF(J35=TODAY(),"Hoje","Em dia"))))</f>
        <v/>
      </c>
      <c r="L35" s="14" t="n"/>
      <c r="M35" s="14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>
        <f>IF(G36="","",CHOOSE(G36,"Lead","Atendimento","Visita","Proposta","Venda"))</f>
        <v/>
      </c>
      <c r="I36" s="13" t="n"/>
      <c r="J36" s="16">
        <f>IF(OR(G36="",I36="",L36="Sim"),"",I36+VLOOKUP(G36,$M$3:$N$7,2,FALSE))</f>
        <v/>
      </c>
      <c r="K36" s="17">
        <f>IF(L36="Sim","Perdido",IF(J36="","",IF(J36&lt;TODAY(),"ATRASADO",IF(J36=TODAY(),"Hoje","Em dia"))))</f>
        <v/>
      </c>
      <c r="L36" s="14" t="n"/>
      <c r="M36" s="14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>
        <f>IF(G37="","",CHOOSE(G37,"Lead","Atendimento","Visita","Proposta","Venda"))</f>
        <v/>
      </c>
      <c r="I37" s="13" t="n"/>
      <c r="J37" s="16">
        <f>IF(OR(G37="",I37="",L37="Sim"),"",I37+VLOOKUP(G37,$M$3:$N$7,2,FALSE))</f>
        <v/>
      </c>
      <c r="K37" s="17">
        <f>IF(L37="Sim","Perdido",IF(J37="","",IF(J37&lt;TODAY(),"ATRASADO",IF(J37=TODAY(),"Hoje","Em dia"))))</f>
        <v/>
      </c>
      <c r="L37" s="14" t="n"/>
      <c r="M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>
        <f>IF(G38="","",CHOOSE(G38,"Lead","Atendimento","Visita","Proposta","Venda"))</f>
        <v/>
      </c>
      <c r="I38" s="13" t="n"/>
      <c r="J38" s="16">
        <f>IF(OR(G38="",I38="",L38="Sim"),"",I38+VLOOKUP(G38,$M$3:$N$7,2,FALSE))</f>
        <v/>
      </c>
      <c r="K38" s="17">
        <f>IF(L38="Sim","Perdido",IF(J38="","",IF(J38&lt;TODAY(),"ATRASADO",IF(J38=TODAY(),"Hoje","Em dia"))))</f>
        <v/>
      </c>
      <c r="L38" s="14" t="n"/>
      <c r="M38" s="14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>
        <f>IF(G39="","",CHOOSE(G39,"Lead","Atendimento","Visita","Proposta","Venda"))</f>
        <v/>
      </c>
      <c r="I39" s="13" t="n"/>
      <c r="J39" s="16">
        <f>IF(OR(G39="",I39="",L39="Sim"),"",I39+VLOOKUP(G39,$M$3:$N$7,2,FALSE))</f>
        <v/>
      </c>
      <c r="K39" s="17">
        <f>IF(L39="Sim","Perdido",IF(J39="","",IF(J39&lt;TODAY(),"ATRASADO",IF(J39=TODAY(),"Hoje","Em dia"))))</f>
        <v/>
      </c>
      <c r="L39" s="14" t="n"/>
      <c r="M39" s="14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>
        <f>IF(G40="","",CHOOSE(G40,"Lead","Atendimento","Visita","Proposta","Venda"))</f>
        <v/>
      </c>
      <c r="I40" s="13" t="n"/>
      <c r="J40" s="16">
        <f>IF(OR(G40="",I40="",L40="Sim"),"",I40+VLOOKUP(G40,$M$3:$N$7,2,FALSE))</f>
        <v/>
      </c>
      <c r="K40" s="17">
        <f>IF(L40="Sim","Perdido",IF(J40="","",IF(J40&lt;TODAY(),"ATRASADO",IF(J40=TODAY(),"Hoje","Em dia"))))</f>
        <v/>
      </c>
      <c r="L40" s="14" t="n"/>
      <c r="M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>
        <f>IF(G41="","",CHOOSE(G41,"Lead","Atendimento","Visita","Proposta","Venda"))</f>
        <v/>
      </c>
      <c r="I41" s="13" t="n"/>
      <c r="J41" s="16">
        <f>IF(OR(G41="",I41="",L41="Sim"),"",I41+VLOOKUP(G41,$M$3:$N$7,2,FALSE))</f>
        <v/>
      </c>
      <c r="K41" s="17">
        <f>IF(L41="Sim","Perdido",IF(J41="","",IF(J41&lt;TODAY(),"ATRASADO",IF(J41=TODAY(),"Hoje","Em dia"))))</f>
        <v/>
      </c>
      <c r="L41" s="14" t="n"/>
      <c r="M41" s="14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>
        <f>IF(G42="","",CHOOSE(G42,"Lead","Atendimento","Visita","Proposta","Venda"))</f>
        <v/>
      </c>
      <c r="I42" s="13" t="n"/>
      <c r="J42" s="16">
        <f>IF(OR(G42="",I42="",L42="Sim"),"",I42+VLOOKUP(G42,$M$3:$N$7,2,FALSE))</f>
        <v/>
      </c>
      <c r="K42" s="17">
        <f>IF(L42="Sim","Perdido",IF(J42="","",IF(J42&lt;TODAY(),"ATRASADO",IF(J42=TODAY(),"Hoje","Em dia"))))</f>
        <v/>
      </c>
      <c r="L42" s="14" t="n"/>
      <c r="M42" s="14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>
        <f>IF(G43="","",CHOOSE(G43,"Lead","Atendimento","Visita","Proposta","Venda"))</f>
        <v/>
      </c>
      <c r="I43" s="13" t="n"/>
      <c r="J43" s="16">
        <f>IF(OR(G43="",I43="",L43="Sim"),"",I43+VLOOKUP(G43,$M$3:$N$7,2,FALSE))</f>
        <v/>
      </c>
      <c r="K43" s="17">
        <f>IF(L43="Sim","Perdido",IF(J43="","",IF(J43&lt;TODAY(),"ATRASADO",IF(J43=TODAY(),"Hoje","Em dia"))))</f>
        <v/>
      </c>
      <c r="L43" s="14" t="n"/>
      <c r="M43" s="14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>
        <f>IF(G44="","",CHOOSE(G44,"Lead","Atendimento","Visita","Proposta","Venda"))</f>
        <v/>
      </c>
      <c r="I44" s="13" t="n"/>
      <c r="J44" s="16">
        <f>IF(OR(G44="",I44="",L44="Sim"),"",I44+VLOOKUP(G44,$M$3:$N$7,2,FALSE))</f>
        <v/>
      </c>
      <c r="K44" s="17">
        <f>IF(L44="Sim","Perdido",IF(J44="","",IF(J44&lt;TODAY(),"ATRASADO",IF(J44=TODAY(),"Hoje","Em dia"))))</f>
        <v/>
      </c>
      <c r="L44" s="14" t="n"/>
      <c r="M44" s="14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>
        <f>IF(G45="","",CHOOSE(G45,"Lead","Atendimento","Visita","Proposta","Venda"))</f>
        <v/>
      </c>
      <c r="I45" s="13" t="n"/>
      <c r="J45" s="16">
        <f>IF(OR(G45="",I45="",L45="Sim"),"",I45+VLOOKUP(G45,$M$3:$N$7,2,FALSE))</f>
        <v/>
      </c>
      <c r="K45" s="17">
        <f>IF(L45="Sim","Perdido",IF(J45="","",IF(J45&lt;TODAY(),"ATRASADO",IF(J45=TODAY(),"Hoje","Em dia"))))</f>
        <v/>
      </c>
      <c r="L45" s="14" t="n"/>
      <c r="M45" s="14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>
        <f>IF(G46="","",CHOOSE(G46,"Lead","Atendimento","Visita","Proposta","Venda"))</f>
        <v/>
      </c>
      <c r="I46" s="13" t="n"/>
      <c r="J46" s="16">
        <f>IF(OR(G46="",I46="",L46="Sim"),"",I46+VLOOKUP(G46,$M$3:$N$7,2,FALSE))</f>
        <v/>
      </c>
      <c r="K46" s="17">
        <f>IF(L46="Sim","Perdido",IF(J46="","",IF(J46&lt;TODAY(),"ATRASADO",IF(J46=TODAY(),"Hoje","Em dia"))))</f>
        <v/>
      </c>
      <c r="L46" s="14" t="n"/>
      <c r="M46" s="14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>
        <f>IF(G47="","",CHOOSE(G47,"Lead","Atendimento","Visita","Proposta","Venda"))</f>
        <v/>
      </c>
      <c r="I47" s="13" t="n"/>
      <c r="J47" s="16">
        <f>IF(OR(G47="",I47="",L47="Sim"),"",I47+VLOOKUP(G47,$M$3:$N$7,2,FALSE))</f>
        <v/>
      </c>
      <c r="K47" s="17">
        <f>IF(L47="Sim","Perdido",IF(J47="","",IF(J47&lt;TODAY(),"ATRASADO",IF(J47=TODAY(),"Hoje","Em dia"))))</f>
        <v/>
      </c>
      <c r="L47" s="14" t="n"/>
      <c r="M47" s="14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>
        <f>IF(G48="","",CHOOSE(G48,"Lead","Atendimento","Visita","Proposta","Venda"))</f>
        <v/>
      </c>
      <c r="I48" s="13" t="n"/>
      <c r="J48" s="16">
        <f>IF(OR(G48="",I48="",L48="Sim"),"",I48+VLOOKUP(G48,$M$3:$N$7,2,FALSE))</f>
        <v/>
      </c>
      <c r="K48" s="17">
        <f>IF(L48="Sim","Perdido",IF(J48="","",IF(J48&lt;TODAY(),"ATRASADO",IF(J48=TODAY(),"Hoje","Em dia"))))</f>
        <v/>
      </c>
      <c r="L48" s="14" t="n"/>
      <c r="M48" s="14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>
        <f>IF(G49="","",CHOOSE(G49,"Lead","Atendimento","Visita","Proposta","Venda"))</f>
        <v/>
      </c>
      <c r="I49" s="13" t="n"/>
      <c r="J49" s="16">
        <f>IF(OR(G49="",I49="",L49="Sim"),"",I49+VLOOKUP(G49,$M$3:$N$7,2,FALSE))</f>
        <v/>
      </c>
      <c r="K49" s="17">
        <f>IF(L49="Sim","Perdido",IF(J49="","",IF(J49&lt;TODAY(),"ATRASADO",IF(J49=TODAY(),"Hoje","Em dia"))))</f>
        <v/>
      </c>
      <c r="L49" s="14" t="n"/>
      <c r="M49" s="14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>
        <f>IF(G50="","",CHOOSE(G50,"Lead","Atendimento","Visita","Proposta","Venda"))</f>
        <v/>
      </c>
      <c r="I50" s="13" t="n"/>
      <c r="J50" s="16">
        <f>IF(OR(G50="",I50="",L50="Sim"),"",I50+VLOOKUP(G50,$M$3:$N$7,2,FALSE))</f>
        <v/>
      </c>
      <c r="K50" s="17">
        <f>IF(L50="Sim","Perdido",IF(J50="","",IF(J50&lt;TODAY(),"ATRASADO",IF(J50=TODAY(),"Hoje","Em dia"))))</f>
        <v/>
      </c>
      <c r="L50" s="14" t="n"/>
      <c r="M50" s="14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>
        <f>IF(G51="","",CHOOSE(G51,"Lead","Atendimento","Visita","Proposta","Venda"))</f>
        <v/>
      </c>
      <c r="I51" s="13" t="n"/>
      <c r="J51" s="16">
        <f>IF(OR(G51="",I51="",L51="Sim"),"",I51+VLOOKUP(G51,$M$3:$N$7,2,FALSE))</f>
        <v/>
      </c>
      <c r="K51" s="17">
        <f>IF(L51="Sim","Perdido",IF(J51="","",IF(J51&lt;TODAY(),"ATRASADO",IF(J51=TODAY(),"Hoje","Em dia"))))</f>
        <v/>
      </c>
      <c r="L51" s="14" t="n"/>
      <c r="M51" s="14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>
        <f>IF(G52="","",CHOOSE(G52,"Lead","Atendimento","Visita","Proposta","Venda"))</f>
        <v/>
      </c>
      <c r="I52" s="13" t="n"/>
      <c r="J52" s="16">
        <f>IF(OR(G52="",I52="",L52="Sim"),"",I52+VLOOKUP(G52,$M$3:$N$7,2,FALSE))</f>
        <v/>
      </c>
      <c r="K52" s="17">
        <f>IF(L52="Sim","Perdido",IF(J52="","",IF(J52&lt;TODAY(),"ATRASADO",IF(J52=TODAY(),"Hoje","Em dia"))))</f>
        <v/>
      </c>
      <c r="L52" s="14" t="n"/>
      <c r="M52" s="14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>
        <f>IF(G53="","",CHOOSE(G53,"Lead","Atendimento","Visita","Proposta","Venda"))</f>
        <v/>
      </c>
      <c r="I53" s="13" t="n"/>
      <c r="J53" s="16">
        <f>IF(OR(G53="",I53="",L53="Sim"),"",I53+VLOOKUP(G53,$M$3:$N$7,2,FALSE))</f>
        <v/>
      </c>
      <c r="K53" s="17">
        <f>IF(L53="Sim","Perdido",IF(J53="","",IF(J53&lt;TODAY(),"ATRASADO",IF(J53=TODAY(),"Hoje","Em dia"))))</f>
        <v/>
      </c>
      <c r="L53" s="14" t="n"/>
      <c r="M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>
        <f>IF(G54="","",CHOOSE(G54,"Lead","Atendimento","Visita","Proposta","Venda"))</f>
        <v/>
      </c>
      <c r="I54" s="13" t="n"/>
      <c r="J54" s="16">
        <f>IF(OR(G54="",I54="",L54="Sim"),"",I54+VLOOKUP(G54,$M$3:$N$7,2,FALSE))</f>
        <v/>
      </c>
      <c r="K54" s="17">
        <f>IF(L54="Sim","Perdido",IF(J54="","",IF(J54&lt;TODAY(),"ATRASADO",IF(J54=TODAY(),"Hoje","Em dia"))))</f>
        <v/>
      </c>
      <c r="L54" s="14" t="n"/>
      <c r="M54" s="14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>
        <f>IF(G55="","",CHOOSE(G55,"Lead","Atendimento","Visita","Proposta","Venda"))</f>
        <v/>
      </c>
      <c r="I55" s="13" t="n"/>
      <c r="J55" s="16">
        <f>IF(OR(G55="",I55="",L55="Sim"),"",I55+VLOOKUP(G55,$M$3:$N$7,2,FALSE))</f>
        <v/>
      </c>
      <c r="K55" s="17">
        <f>IF(L55="Sim","Perdido",IF(J55="","",IF(J55&lt;TODAY(),"ATRASADO",IF(J55=TODAY(),"Hoje","Em dia"))))</f>
        <v/>
      </c>
      <c r="L55" s="14" t="n"/>
      <c r="M55" s="14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>
        <f>IF(G56="","",CHOOSE(G56,"Lead","Atendimento","Visita","Proposta","Venda"))</f>
        <v/>
      </c>
      <c r="I56" s="13" t="n"/>
      <c r="J56" s="16">
        <f>IF(OR(G56="",I56="",L56="Sim"),"",I56+VLOOKUP(G56,$M$3:$N$7,2,FALSE))</f>
        <v/>
      </c>
      <c r="K56" s="17">
        <f>IF(L56="Sim","Perdido",IF(J56="","",IF(J56&lt;TODAY(),"ATRASADO",IF(J56=TODAY(),"Hoje","Em dia"))))</f>
        <v/>
      </c>
      <c r="L56" s="14" t="n"/>
      <c r="M56" s="14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>
        <f>IF(G57="","",CHOOSE(G57,"Lead","Atendimento","Visita","Proposta","Venda"))</f>
        <v/>
      </c>
      <c r="I57" s="13" t="n"/>
      <c r="J57" s="16">
        <f>IF(OR(G57="",I57="",L57="Sim"),"",I57+VLOOKUP(G57,$M$3:$N$7,2,FALSE))</f>
        <v/>
      </c>
      <c r="K57" s="17">
        <f>IF(L57="Sim","Perdido",IF(J57="","",IF(J57&lt;TODAY(),"ATRASADO",IF(J57=TODAY(),"Hoje","Em dia"))))</f>
        <v/>
      </c>
      <c r="L57" s="14" t="n"/>
      <c r="M57" s="14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>
        <f>IF(G58="","",CHOOSE(G58,"Lead","Atendimento","Visita","Proposta","Venda"))</f>
        <v/>
      </c>
      <c r="I58" s="13" t="n"/>
      <c r="J58" s="16">
        <f>IF(OR(G58="",I58="",L58="Sim"),"",I58+VLOOKUP(G58,$M$3:$N$7,2,FALSE))</f>
        <v/>
      </c>
      <c r="K58" s="17">
        <f>IF(L58="Sim","Perdido",IF(J58="","",IF(J58&lt;TODAY(),"ATRASADO",IF(J58=TODAY(),"Hoje","Em dia"))))</f>
        <v/>
      </c>
      <c r="L58" s="14" t="n"/>
      <c r="M58" s="14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>
        <f>IF(G59="","",CHOOSE(G59,"Lead","Atendimento","Visita","Proposta","Venda"))</f>
        <v/>
      </c>
      <c r="I59" s="13" t="n"/>
      <c r="J59" s="16">
        <f>IF(OR(G59="",I59="",L59="Sim"),"",I59+VLOOKUP(G59,$M$3:$N$7,2,FALSE))</f>
        <v/>
      </c>
      <c r="K59" s="17">
        <f>IF(L59="Sim","Perdido",IF(J59="","",IF(J59&lt;TODAY(),"ATRASADO",IF(J59=TODAY(),"Hoje","Em dia"))))</f>
        <v/>
      </c>
      <c r="L59" s="14" t="n"/>
      <c r="M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5">
        <f>IF(G60="","",CHOOSE(G60,"Lead","Atendimento","Visita","Proposta","Venda"))</f>
        <v/>
      </c>
      <c r="I60" s="13" t="n"/>
      <c r="J60" s="16">
        <f>IF(OR(G60="",I60="",L60="Sim"),"",I60+VLOOKUP(G60,$M$3:$N$7,2,FALSE))</f>
        <v/>
      </c>
      <c r="K60" s="17">
        <f>IF(L60="Sim","Perdido",IF(J60="","",IF(J60&lt;TODAY(),"ATRASADO",IF(J60=TODAY(),"Hoje","Em dia"))))</f>
        <v/>
      </c>
      <c r="L60" s="14" t="n"/>
      <c r="M60" s="14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5">
        <f>IF(G61="","",CHOOSE(G61,"Lead","Atendimento","Visita","Proposta","Venda"))</f>
        <v/>
      </c>
      <c r="I61" s="13" t="n"/>
      <c r="J61" s="16">
        <f>IF(OR(G61="",I61="",L61="Sim"),"",I61+VLOOKUP(G61,$M$3:$N$7,2,FALSE))</f>
        <v/>
      </c>
      <c r="K61" s="17">
        <f>IF(L61="Sim","Perdido",IF(J61="","",IF(J61&lt;TODAY(),"ATRASADO",IF(J61=TODAY(),"Hoje","Em dia"))))</f>
        <v/>
      </c>
      <c r="L61" s="14" t="n"/>
      <c r="M61" s="14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5">
        <f>IF(G62="","",CHOOSE(G62,"Lead","Atendimento","Visita","Proposta","Venda"))</f>
        <v/>
      </c>
      <c r="I62" s="13" t="n"/>
      <c r="J62" s="16">
        <f>IF(OR(G62="",I62="",L62="Sim"),"",I62+VLOOKUP(G62,$M$3:$N$7,2,FALSE))</f>
        <v/>
      </c>
      <c r="K62" s="17">
        <f>IF(L62="Sim","Perdido",IF(J62="","",IF(J62&lt;TODAY(),"ATRASADO",IF(J62=TODAY(),"Hoje","Em dia"))))</f>
        <v/>
      </c>
      <c r="L62" s="14" t="n"/>
      <c r="M62" s="14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5">
        <f>IF(G63="","",CHOOSE(G63,"Lead","Atendimento","Visita","Proposta","Venda"))</f>
        <v/>
      </c>
      <c r="I63" s="13" t="n"/>
      <c r="J63" s="16">
        <f>IF(OR(G63="",I63="",L63="Sim"),"",I63+VLOOKUP(G63,$M$3:$N$7,2,FALSE))</f>
        <v/>
      </c>
      <c r="K63" s="17">
        <f>IF(L63="Sim","Perdido",IF(J63="","",IF(J63&lt;TODAY(),"ATRASADO",IF(J63=TODAY(),"Hoje","Em dia"))))</f>
        <v/>
      </c>
      <c r="L63" s="14" t="n"/>
      <c r="M63" s="14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5">
        <f>IF(G64="","",CHOOSE(G64,"Lead","Atendimento","Visita","Proposta","Venda"))</f>
        <v/>
      </c>
      <c r="I64" s="13" t="n"/>
      <c r="J64" s="16">
        <f>IF(OR(G64="",I64="",L64="Sim"),"",I64+VLOOKUP(G64,$M$3:$N$7,2,FALSE))</f>
        <v/>
      </c>
      <c r="K64" s="17">
        <f>IF(L64="Sim","Perdido",IF(J64="","",IF(J64&lt;TODAY(),"ATRASADO",IF(J64=TODAY(),"Hoje","Em dia"))))</f>
        <v/>
      </c>
      <c r="L64" s="14" t="n"/>
      <c r="M64" s="14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5">
        <f>IF(G65="","",CHOOSE(G65,"Lead","Atendimento","Visita","Proposta","Venda"))</f>
        <v/>
      </c>
      <c r="I65" s="13" t="n"/>
      <c r="J65" s="16">
        <f>IF(OR(G65="",I65="",L65="Sim"),"",I65+VLOOKUP(G65,$M$3:$N$7,2,FALSE))</f>
        <v/>
      </c>
      <c r="K65" s="17">
        <f>IF(L65="Sim","Perdido",IF(J65="","",IF(J65&lt;TODAY(),"ATRASADO",IF(J65=TODAY(),"Hoje","Em dia"))))</f>
        <v/>
      </c>
      <c r="L65" s="14" t="n"/>
      <c r="M65" s="14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5">
        <f>IF(G66="","",CHOOSE(G66,"Lead","Atendimento","Visita","Proposta","Venda"))</f>
        <v/>
      </c>
      <c r="I66" s="13" t="n"/>
      <c r="J66" s="16">
        <f>IF(OR(G66="",I66="",L66="Sim"),"",I66+VLOOKUP(G66,$M$3:$N$7,2,FALSE))</f>
        <v/>
      </c>
      <c r="K66" s="17">
        <f>IF(L66="Sim","Perdido",IF(J66="","",IF(J66&lt;TODAY(),"ATRASADO",IF(J66=TODAY(),"Hoje","Em dia"))))</f>
        <v/>
      </c>
      <c r="L66" s="14" t="n"/>
      <c r="M66" s="14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5">
        <f>IF(G67="","",CHOOSE(G67,"Lead","Atendimento","Visita","Proposta","Venda"))</f>
        <v/>
      </c>
      <c r="I67" s="13" t="n"/>
      <c r="J67" s="16">
        <f>IF(OR(G67="",I67="",L67="Sim"),"",I67+VLOOKUP(G67,$M$3:$N$7,2,FALSE))</f>
        <v/>
      </c>
      <c r="K67" s="17">
        <f>IF(L67="Sim","Perdido",IF(J67="","",IF(J67&lt;TODAY(),"ATRASADO",IF(J67=TODAY(),"Hoje","Em dia"))))</f>
        <v/>
      </c>
      <c r="L67" s="14" t="n"/>
      <c r="M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5">
        <f>IF(G68="","",CHOOSE(G68,"Lead","Atendimento","Visita","Proposta","Venda"))</f>
        <v/>
      </c>
      <c r="I68" s="13" t="n"/>
      <c r="J68" s="16">
        <f>IF(OR(G68="",I68="",L68="Sim"),"",I68+VLOOKUP(G68,$M$3:$N$7,2,FALSE))</f>
        <v/>
      </c>
      <c r="K68" s="17">
        <f>IF(L68="Sim","Perdido",IF(J68="","",IF(J68&lt;TODAY(),"ATRASADO",IF(J68=TODAY(),"Hoje","Em dia"))))</f>
        <v/>
      </c>
      <c r="L68" s="14" t="n"/>
      <c r="M68" s="14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5">
        <f>IF(G69="","",CHOOSE(G69,"Lead","Atendimento","Visita","Proposta","Venda"))</f>
        <v/>
      </c>
      <c r="I69" s="13" t="n"/>
      <c r="J69" s="16">
        <f>IF(OR(G69="",I69="",L69="Sim"),"",I69+VLOOKUP(G69,$M$3:$N$7,2,FALSE))</f>
        <v/>
      </c>
      <c r="K69" s="17">
        <f>IF(L69="Sim","Perdido",IF(J69="","",IF(J69&lt;TODAY(),"ATRASADO",IF(J69=TODAY(),"Hoje","Em dia"))))</f>
        <v/>
      </c>
      <c r="L69" s="14" t="n"/>
      <c r="M69" s="14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5">
        <f>IF(G70="","",CHOOSE(G70,"Lead","Atendimento","Visita","Proposta","Venda"))</f>
        <v/>
      </c>
      <c r="I70" s="13" t="n"/>
      <c r="J70" s="16">
        <f>IF(OR(G70="",I70="",L70="Sim"),"",I70+VLOOKUP(G70,$M$3:$N$7,2,FALSE))</f>
        <v/>
      </c>
      <c r="K70" s="17">
        <f>IF(L70="Sim","Perdido",IF(J70="","",IF(J70&lt;TODAY(),"ATRASADO",IF(J70=TODAY(),"Hoje","Em dia"))))</f>
        <v/>
      </c>
      <c r="L70" s="14" t="n"/>
      <c r="M70" s="14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5">
        <f>IF(G71="","",CHOOSE(G71,"Lead","Atendimento","Visita","Proposta","Venda"))</f>
        <v/>
      </c>
      <c r="I71" s="13" t="n"/>
      <c r="J71" s="16">
        <f>IF(OR(G71="",I71="",L71="Sim"),"",I71+VLOOKUP(G71,$M$3:$N$7,2,FALSE))</f>
        <v/>
      </c>
      <c r="K71" s="17">
        <f>IF(L71="Sim","Perdido",IF(J71="","",IF(J71&lt;TODAY(),"ATRASADO",IF(J71=TODAY(),"Hoje","Em dia"))))</f>
        <v/>
      </c>
      <c r="L71" s="14" t="n"/>
      <c r="M71" s="14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5">
        <f>IF(G72="","",CHOOSE(G72,"Lead","Atendimento","Visita","Proposta","Venda"))</f>
        <v/>
      </c>
      <c r="I72" s="13" t="n"/>
      <c r="J72" s="16">
        <f>IF(OR(G72="",I72="",L72="Sim"),"",I72+VLOOKUP(G72,$M$3:$N$7,2,FALSE))</f>
        <v/>
      </c>
      <c r="K72" s="17">
        <f>IF(L72="Sim","Perdido",IF(J72="","",IF(J72&lt;TODAY(),"ATRASADO",IF(J72=TODAY(),"Hoje","Em dia"))))</f>
        <v/>
      </c>
      <c r="L72" s="14" t="n"/>
      <c r="M72" s="14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5">
        <f>IF(G73="","",CHOOSE(G73,"Lead","Atendimento","Visita","Proposta","Venda"))</f>
        <v/>
      </c>
      <c r="I73" s="13" t="n"/>
      <c r="J73" s="16">
        <f>IF(OR(G73="",I73="",L73="Sim"),"",I73+VLOOKUP(G73,$M$3:$N$7,2,FALSE))</f>
        <v/>
      </c>
      <c r="K73" s="17">
        <f>IF(L73="Sim","Perdido",IF(J73="","",IF(J73&lt;TODAY(),"ATRASADO",IF(J73=TODAY(),"Hoje","Em dia"))))</f>
        <v/>
      </c>
      <c r="L73" s="14" t="n"/>
      <c r="M73" s="14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5">
        <f>IF(G74="","",CHOOSE(G74,"Lead","Atendimento","Visita","Proposta","Venda"))</f>
        <v/>
      </c>
      <c r="I74" s="13" t="n"/>
      <c r="J74" s="16">
        <f>IF(OR(G74="",I74="",L74="Sim"),"",I74+VLOOKUP(G74,$M$3:$N$7,2,FALSE))</f>
        <v/>
      </c>
      <c r="K74" s="17">
        <f>IF(L74="Sim","Perdido",IF(J74="","",IF(J74&lt;TODAY(),"ATRASADO",IF(J74=TODAY(),"Hoje","Em dia"))))</f>
        <v/>
      </c>
      <c r="L74" s="14" t="n"/>
      <c r="M74" s="14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5">
        <f>IF(G75="","",CHOOSE(G75,"Lead","Atendimento","Visita","Proposta","Venda"))</f>
        <v/>
      </c>
      <c r="I75" s="13" t="n"/>
      <c r="J75" s="16">
        <f>IF(OR(G75="",I75="",L75="Sim"),"",I75+VLOOKUP(G75,$M$3:$N$7,2,FALSE))</f>
        <v/>
      </c>
      <c r="K75" s="17">
        <f>IF(L75="Sim","Perdido",IF(J75="","",IF(J75&lt;TODAY(),"ATRASADO",IF(J75=TODAY(),"Hoje","Em dia"))))</f>
        <v/>
      </c>
      <c r="L75" s="14" t="n"/>
      <c r="M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5">
        <f>IF(G76="","",CHOOSE(G76,"Lead","Atendimento","Visita","Proposta","Venda"))</f>
        <v/>
      </c>
      <c r="I76" s="13" t="n"/>
      <c r="J76" s="16">
        <f>IF(OR(G76="",I76="",L76="Sim"),"",I76+VLOOKUP(G76,$M$3:$N$7,2,FALSE))</f>
        <v/>
      </c>
      <c r="K76" s="17">
        <f>IF(L76="Sim","Perdido",IF(J76="","",IF(J76&lt;TODAY(),"ATRASADO",IF(J76=TODAY(),"Hoje","Em dia"))))</f>
        <v/>
      </c>
      <c r="L76" s="14" t="n"/>
      <c r="M76" s="14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5">
        <f>IF(G77="","",CHOOSE(G77,"Lead","Atendimento","Visita","Proposta","Venda"))</f>
        <v/>
      </c>
      <c r="I77" s="13" t="n"/>
      <c r="J77" s="16">
        <f>IF(OR(G77="",I77="",L77="Sim"),"",I77+VLOOKUP(G77,$M$3:$N$7,2,FALSE))</f>
        <v/>
      </c>
      <c r="K77" s="17">
        <f>IF(L77="Sim","Perdido",IF(J77="","",IF(J77&lt;TODAY(),"ATRASADO",IF(J77=TODAY(),"Hoje","Em dia"))))</f>
        <v/>
      </c>
      <c r="L77" s="14" t="n"/>
      <c r="M77" s="14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5">
        <f>IF(G78="","",CHOOSE(G78,"Lead","Atendimento","Visita","Proposta","Venda"))</f>
        <v/>
      </c>
      <c r="I78" s="13" t="n"/>
      <c r="J78" s="16">
        <f>IF(OR(G78="",I78="",L78="Sim"),"",I78+VLOOKUP(G78,$M$3:$N$7,2,FALSE))</f>
        <v/>
      </c>
      <c r="K78" s="17">
        <f>IF(L78="Sim","Perdido",IF(J78="","",IF(J78&lt;TODAY(),"ATRASADO",IF(J78=TODAY(),"Hoje","Em dia"))))</f>
        <v/>
      </c>
      <c r="L78" s="14" t="n"/>
      <c r="M78" s="14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5">
        <f>IF(G79="","",CHOOSE(G79,"Lead","Atendimento","Visita","Proposta","Venda"))</f>
        <v/>
      </c>
      <c r="I79" s="13" t="n"/>
      <c r="J79" s="16">
        <f>IF(OR(G79="",I79="",L79="Sim"),"",I79+VLOOKUP(G79,$M$3:$N$7,2,FALSE))</f>
        <v/>
      </c>
      <c r="K79" s="17">
        <f>IF(L79="Sim","Perdido",IF(J79="","",IF(J79&lt;TODAY(),"ATRASADO",IF(J79=TODAY(),"Hoje","Em dia"))))</f>
        <v/>
      </c>
      <c r="L79" s="14" t="n"/>
      <c r="M79" s="14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5">
        <f>IF(G80="","",CHOOSE(G80,"Lead","Atendimento","Visita","Proposta","Venda"))</f>
        <v/>
      </c>
      <c r="I80" s="13" t="n"/>
      <c r="J80" s="16">
        <f>IF(OR(G80="",I80="",L80="Sim"),"",I80+VLOOKUP(G80,$M$3:$N$7,2,FALSE))</f>
        <v/>
      </c>
      <c r="K80" s="17">
        <f>IF(L80="Sim","Perdido",IF(J80="","",IF(J80&lt;TODAY(),"ATRASADO",IF(J80=TODAY(),"Hoje","Em dia"))))</f>
        <v/>
      </c>
      <c r="L80" s="14" t="n"/>
      <c r="M80" s="14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5">
        <f>IF(G81="","",CHOOSE(G81,"Lead","Atendimento","Visita","Proposta","Venda"))</f>
        <v/>
      </c>
      <c r="I81" s="13" t="n"/>
      <c r="J81" s="16">
        <f>IF(OR(G81="",I81="",L81="Sim"),"",I81+VLOOKUP(G81,$M$3:$N$7,2,FALSE))</f>
        <v/>
      </c>
      <c r="K81" s="17">
        <f>IF(L81="Sim","Perdido",IF(J81="","",IF(J81&lt;TODAY(),"ATRASADO",IF(J81=TODAY(),"Hoje","Em dia"))))</f>
        <v/>
      </c>
      <c r="L81" s="14" t="n"/>
      <c r="M81" s="14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5">
        <f>IF(G82="","",CHOOSE(G82,"Lead","Atendimento","Visita","Proposta","Venda"))</f>
        <v/>
      </c>
      <c r="I82" s="13" t="n"/>
      <c r="J82" s="16">
        <f>IF(OR(G82="",I82="",L82="Sim"),"",I82+VLOOKUP(G82,$M$3:$N$7,2,FALSE))</f>
        <v/>
      </c>
      <c r="K82" s="17">
        <f>IF(L82="Sim","Perdido",IF(J82="","",IF(J82&lt;TODAY(),"ATRASADO",IF(J82=TODAY(),"Hoje","Em dia"))))</f>
        <v/>
      </c>
      <c r="L82" s="14" t="n"/>
      <c r="M82" s="14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5">
        <f>IF(G83="","",CHOOSE(G83,"Lead","Atendimento","Visita","Proposta","Venda"))</f>
        <v/>
      </c>
      <c r="I83" s="13" t="n"/>
      <c r="J83" s="16">
        <f>IF(OR(G83="",I83="",L83="Sim"),"",I83+VLOOKUP(G83,$M$3:$N$7,2,FALSE))</f>
        <v/>
      </c>
      <c r="K83" s="17">
        <f>IF(L83="Sim","Perdido",IF(J83="","",IF(J83&lt;TODAY(),"ATRASADO",IF(J83=TODAY(),"Hoje","Em dia"))))</f>
        <v/>
      </c>
      <c r="L83" s="14" t="n"/>
      <c r="M83" s="14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5">
        <f>IF(G84="","",CHOOSE(G84,"Lead","Atendimento","Visita","Proposta","Venda"))</f>
        <v/>
      </c>
      <c r="I84" s="13" t="n"/>
      <c r="J84" s="16">
        <f>IF(OR(G84="",I84="",L84="Sim"),"",I84+VLOOKUP(G84,$M$3:$N$7,2,FALSE))</f>
        <v/>
      </c>
      <c r="K84" s="17">
        <f>IF(L84="Sim","Perdido",IF(J84="","",IF(J84&lt;TODAY(),"ATRASADO",IF(J84=TODAY(),"Hoje","Em dia"))))</f>
        <v/>
      </c>
      <c r="L84" s="14" t="n"/>
      <c r="M84" s="14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5">
        <f>IF(G85="","",CHOOSE(G85,"Lead","Atendimento","Visita","Proposta","Venda"))</f>
        <v/>
      </c>
      <c r="I85" s="13" t="n"/>
      <c r="J85" s="16">
        <f>IF(OR(G85="",I85="",L85="Sim"),"",I85+VLOOKUP(G85,$M$3:$N$7,2,FALSE))</f>
        <v/>
      </c>
      <c r="K85" s="17">
        <f>IF(L85="Sim","Perdido",IF(J85="","",IF(J85&lt;TODAY(),"ATRASADO",IF(J85=TODAY(),"Hoje","Em dia"))))</f>
        <v/>
      </c>
      <c r="L85" s="14" t="n"/>
      <c r="M85" s="14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5">
        <f>IF(G86="","",CHOOSE(G86,"Lead","Atendimento","Visita","Proposta","Venda"))</f>
        <v/>
      </c>
      <c r="I86" s="13" t="n"/>
      <c r="J86" s="16">
        <f>IF(OR(G86="",I86="",L86="Sim"),"",I86+VLOOKUP(G86,$M$3:$N$7,2,FALSE))</f>
        <v/>
      </c>
      <c r="K86" s="17">
        <f>IF(L86="Sim","Perdido",IF(J86="","",IF(J86&lt;TODAY(),"ATRASADO",IF(J86=TODAY(),"Hoje","Em dia"))))</f>
        <v/>
      </c>
      <c r="L86" s="14" t="n"/>
      <c r="M86" s="14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5">
        <f>IF(G87="","",CHOOSE(G87,"Lead","Atendimento","Visita","Proposta","Venda"))</f>
        <v/>
      </c>
      <c r="I87" s="13" t="n"/>
      <c r="J87" s="16">
        <f>IF(OR(G87="",I87="",L87="Sim"),"",I87+VLOOKUP(G87,$M$3:$N$7,2,FALSE))</f>
        <v/>
      </c>
      <c r="K87" s="17">
        <f>IF(L87="Sim","Perdido",IF(J87="","",IF(J87&lt;TODAY(),"ATRASADO",IF(J87=TODAY(),"Hoje","Em dia"))))</f>
        <v/>
      </c>
      <c r="L87" s="14" t="n"/>
      <c r="M87" s="14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5">
        <f>IF(G88="","",CHOOSE(G88,"Lead","Atendimento","Visita","Proposta","Venda"))</f>
        <v/>
      </c>
      <c r="I88" s="13" t="n"/>
      <c r="J88" s="16">
        <f>IF(OR(G88="",I88="",L88="Sim"),"",I88+VLOOKUP(G88,$M$3:$N$7,2,FALSE))</f>
        <v/>
      </c>
      <c r="K88" s="17">
        <f>IF(L88="Sim","Perdido",IF(J88="","",IF(J88&lt;TODAY(),"ATRASADO",IF(J88=TODAY(),"Hoje","Em dia"))))</f>
        <v/>
      </c>
      <c r="L88" s="14" t="n"/>
      <c r="M88" s="14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5">
        <f>IF(G89="","",CHOOSE(G89,"Lead","Atendimento","Visita","Proposta","Venda"))</f>
        <v/>
      </c>
      <c r="I89" s="13" t="n"/>
      <c r="J89" s="16">
        <f>IF(OR(G89="",I89="",L89="Sim"),"",I89+VLOOKUP(G89,$M$3:$N$7,2,FALSE))</f>
        <v/>
      </c>
      <c r="K89" s="17">
        <f>IF(L89="Sim","Perdido",IF(J89="","",IF(J89&lt;TODAY(),"ATRASADO",IF(J89=TODAY(),"Hoje","Em dia"))))</f>
        <v/>
      </c>
      <c r="L89" s="14" t="n"/>
      <c r="M89" s="14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5">
        <f>IF(G90="","",CHOOSE(G90,"Lead","Atendimento","Visita","Proposta","Venda"))</f>
        <v/>
      </c>
      <c r="I90" s="13" t="n"/>
      <c r="J90" s="16">
        <f>IF(OR(G90="",I90="",L90="Sim"),"",I90+VLOOKUP(G90,$M$3:$N$7,2,FALSE))</f>
        <v/>
      </c>
      <c r="K90" s="17">
        <f>IF(L90="Sim","Perdido",IF(J90="","",IF(J90&lt;TODAY(),"ATRASADO",IF(J90=TODAY(),"Hoje","Em dia"))))</f>
        <v/>
      </c>
      <c r="L90" s="14" t="n"/>
      <c r="M90" s="14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5">
        <f>IF(G91="","",CHOOSE(G91,"Lead","Atendimento","Visita","Proposta","Venda"))</f>
        <v/>
      </c>
      <c r="I91" s="13" t="n"/>
      <c r="J91" s="16">
        <f>IF(OR(G91="",I91="",L91="Sim"),"",I91+VLOOKUP(G91,$M$3:$N$7,2,FALSE))</f>
        <v/>
      </c>
      <c r="K91" s="17">
        <f>IF(L91="Sim","Perdido",IF(J91="","",IF(J91&lt;TODAY(),"ATRASADO",IF(J91=TODAY(),"Hoje","Em dia"))))</f>
        <v/>
      </c>
      <c r="L91" s="14" t="n"/>
      <c r="M91" s="14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5">
        <f>IF(G92="","",CHOOSE(G92,"Lead","Atendimento","Visita","Proposta","Venda"))</f>
        <v/>
      </c>
      <c r="I92" s="13" t="n"/>
      <c r="J92" s="16">
        <f>IF(OR(G92="",I92="",L92="Sim"),"",I92+VLOOKUP(G92,$M$3:$N$7,2,FALSE))</f>
        <v/>
      </c>
      <c r="K92" s="17">
        <f>IF(L92="Sim","Perdido",IF(J92="","",IF(J92&lt;TODAY(),"ATRASADO",IF(J92=TODAY(),"Hoje","Em dia"))))</f>
        <v/>
      </c>
      <c r="L92" s="14" t="n"/>
      <c r="M92" s="14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5">
        <f>IF(G93="","",CHOOSE(G93,"Lead","Atendimento","Visita","Proposta","Venda"))</f>
        <v/>
      </c>
      <c r="I93" s="13" t="n"/>
      <c r="J93" s="16">
        <f>IF(OR(G93="",I93="",L93="Sim"),"",I93+VLOOKUP(G93,$M$3:$N$7,2,FALSE))</f>
        <v/>
      </c>
      <c r="K93" s="17">
        <f>IF(L93="Sim","Perdido",IF(J93="","",IF(J93&lt;TODAY(),"ATRASADO",IF(J93=TODAY(),"Hoje","Em dia"))))</f>
        <v/>
      </c>
      <c r="L93" s="14" t="n"/>
      <c r="M93" s="14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5">
        <f>IF(G94="","",CHOOSE(G94,"Lead","Atendimento","Visita","Proposta","Venda"))</f>
        <v/>
      </c>
      <c r="I94" s="13" t="n"/>
      <c r="J94" s="16">
        <f>IF(OR(G94="",I94="",L94="Sim"),"",I94+VLOOKUP(G94,$M$3:$N$7,2,FALSE))</f>
        <v/>
      </c>
      <c r="K94" s="17">
        <f>IF(L94="Sim","Perdido",IF(J94="","",IF(J94&lt;TODAY(),"ATRASADO",IF(J94=TODAY(),"Hoje","Em dia"))))</f>
        <v/>
      </c>
      <c r="L94" s="14" t="n"/>
      <c r="M94" s="14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5">
        <f>IF(G95="","",CHOOSE(G95,"Lead","Atendimento","Visita","Proposta","Venda"))</f>
        <v/>
      </c>
      <c r="I95" s="13" t="n"/>
      <c r="J95" s="16">
        <f>IF(OR(G95="",I95="",L95="Sim"),"",I95+VLOOKUP(G95,$M$3:$N$7,2,FALSE))</f>
        <v/>
      </c>
      <c r="K95" s="17">
        <f>IF(L95="Sim","Perdido",IF(J95="","",IF(J95&lt;TODAY(),"ATRASADO",IF(J95=TODAY(),"Hoje","Em dia"))))</f>
        <v/>
      </c>
      <c r="L95" s="14" t="n"/>
      <c r="M95" s="14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5">
        <f>IF(G96="","",CHOOSE(G96,"Lead","Atendimento","Visita","Proposta","Venda"))</f>
        <v/>
      </c>
      <c r="I96" s="13" t="n"/>
      <c r="J96" s="16">
        <f>IF(OR(G96="",I96="",L96="Sim"),"",I96+VLOOKUP(G96,$M$3:$N$7,2,FALSE))</f>
        <v/>
      </c>
      <c r="K96" s="17">
        <f>IF(L96="Sim","Perdido",IF(J96="","",IF(J96&lt;TODAY(),"ATRASADO",IF(J96=TODAY(),"Hoje","Em dia"))))</f>
        <v/>
      </c>
      <c r="L96" s="14" t="n"/>
      <c r="M96" s="14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5">
        <f>IF(G97="","",CHOOSE(G97,"Lead","Atendimento","Visita","Proposta","Venda"))</f>
        <v/>
      </c>
      <c r="I97" s="13" t="n"/>
      <c r="J97" s="16">
        <f>IF(OR(G97="",I97="",L97="Sim"),"",I97+VLOOKUP(G97,$M$3:$N$7,2,FALSE))</f>
        <v/>
      </c>
      <c r="K97" s="17">
        <f>IF(L97="Sim","Perdido",IF(J97="","",IF(J97&lt;TODAY(),"ATRASADO",IF(J97=TODAY(),"Hoje","Em dia"))))</f>
        <v/>
      </c>
      <c r="L97" s="14" t="n"/>
      <c r="M97" s="14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5">
        <f>IF(G98="","",CHOOSE(G98,"Lead","Atendimento","Visita","Proposta","Venda"))</f>
        <v/>
      </c>
      <c r="I98" s="13" t="n"/>
      <c r="J98" s="16">
        <f>IF(OR(G98="",I98="",L98="Sim"),"",I98+VLOOKUP(G98,$M$3:$N$7,2,FALSE))</f>
        <v/>
      </c>
      <c r="K98" s="17">
        <f>IF(L98="Sim","Perdido",IF(J98="","",IF(J98&lt;TODAY(),"ATRASADO",IF(J98=TODAY(),"Hoje","Em dia"))))</f>
        <v/>
      </c>
      <c r="L98" s="14" t="n"/>
      <c r="M98" s="14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5">
        <f>IF(G99="","",CHOOSE(G99,"Lead","Atendimento","Visita","Proposta","Venda"))</f>
        <v/>
      </c>
      <c r="I99" s="13" t="n"/>
      <c r="J99" s="16">
        <f>IF(OR(G99="",I99="",L99="Sim"),"",I99+VLOOKUP(G99,$M$3:$N$7,2,FALSE))</f>
        <v/>
      </c>
      <c r="K99" s="17">
        <f>IF(L99="Sim","Perdido",IF(J99="","",IF(J99&lt;TODAY(),"ATRASADO",IF(J99=TODAY(),"Hoje","Em dia"))))</f>
        <v/>
      </c>
      <c r="L99" s="14" t="n"/>
      <c r="M99" s="14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5">
        <f>IF(G100="","",CHOOSE(G100,"Lead","Atendimento","Visita","Proposta","Venda"))</f>
        <v/>
      </c>
      <c r="I100" s="13" t="n"/>
      <c r="J100" s="16">
        <f>IF(OR(G100="",I100="",L100="Sim"),"",I100+VLOOKUP(G100,$M$3:$N$7,2,FALSE))</f>
        <v/>
      </c>
      <c r="K100" s="17">
        <f>IF(L100="Sim","Perdido",IF(J100="","",IF(J100&lt;TODAY(),"ATRASADO",IF(J100=TODAY(),"Hoje","Em dia"))))</f>
        <v/>
      </c>
      <c r="L100" s="14" t="n"/>
      <c r="M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5">
        <f>IF(G101="","",CHOOSE(G101,"Lead","Atendimento","Visita","Proposta","Venda"))</f>
        <v/>
      </c>
      <c r="I101" s="13" t="n"/>
      <c r="J101" s="16">
        <f>IF(OR(G101="",I101="",L101="Sim"),"",I101+VLOOKUP(G101,$M$3:$N$7,2,FALSE))</f>
        <v/>
      </c>
      <c r="K101" s="17">
        <f>IF(L101="Sim","Perdido",IF(J101="","",IF(J101&lt;TODAY(),"ATRASADO",IF(J101=TODAY(),"Hoje","Em dia"))))</f>
        <v/>
      </c>
      <c r="L101" s="14" t="n"/>
      <c r="M101" s="14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5">
        <f>IF(G102="","",CHOOSE(G102,"Lead","Atendimento","Visita","Proposta","Venda"))</f>
        <v/>
      </c>
      <c r="I102" s="13" t="n"/>
      <c r="J102" s="16">
        <f>IF(OR(G102="",I102="",L102="Sim"),"",I102+VLOOKUP(G102,$M$3:$N$7,2,FALSE))</f>
        <v/>
      </c>
      <c r="K102" s="17">
        <f>IF(L102="Sim","Perdido",IF(J102="","",IF(J102&lt;TODAY(),"ATRASADO",IF(J102=TODAY(),"Hoje","Em dia"))))</f>
        <v/>
      </c>
      <c r="L102" s="14" t="n"/>
      <c r="M102" s="14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5">
        <f>IF(G103="","",CHOOSE(G103,"Lead","Atendimento","Visita","Proposta","Venda"))</f>
        <v/>
      </c>
      <c r="I103" s="13" t="n"/>
      <c r="J103" s="16">
        <f>IF(OR(G103="",I103="",L103="Sim"),"",I103+VLOOKUP(G103,$M$3:$N$7,2,FALSE))</f>
        <v/>
      </c>
      <c r="K103" s="17">
        <f>IF(L103="Sim","Perdido",IF(J103="","",IF(J103&lt;TODAY(),"ATRASADO",IF(J103=TODAY(),"Hoje","Em dia"))))</f>
        <v/>
      </c>
      <c r="L103" s="14" t="n"/>
      <c r="M103" s="14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5">
        <f>IF(G104="","",CHOOSE(G104,"Lead","Atendimento","Visita","Proposta","Venda"))</f>
        <v/>
      </c>
      <c r="I104" s="13" t="n"/>
      <c r="J104" s="16">
        <f>IF(OR(G104="",I104="",L104="Sim"),"",I104+VLOOKUP(G104,$M$3:$N$7,2,FALSE))</f>
        <v/>
      </c>
      <c r="K104" s="17">
        <f>IF(L104="Sim","Perdido",IF(J104="","",IF(J104&lt;TODAY(),"ATRASADO",IF(J104=TODAY(),"Hoje","Em dia"))))</f>
        <v/>
      </c>
      <c r="L104" s="14" t="n"/>
      <c r="M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5">
        <f>IF(G105="","",CHOOSE(G105,"Lead","Atendimento","Visita","Proposta","Venda"))</f>
        <v/>
      </c>
      <c r="I105" s="13" t="n"/>
      <c r="J105" s="16">
        <f>IF(OR(G105="",I105="",L105="Sim"),"",I105+VLOOKUP(G105,$M$3:$N$7,2,FALSE))</f>
        <v/>
      </c>
      <c r="K105" s="17">
        <f>IF(L105="Sim","Perdido",IF(J105="","",IF(J105&lt;TODAY(),"ATRASADO",IF(J105=TODAY(),"Hoje","Em dia"))))</f>
        <v/>
      </c>
      <c r="L105" s="14" t="n"/>
      <c r="M105" s="14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5">
        <f>IF(G106="","",CHOOSE(G106,"Lead","Atendimento","Visita","Proposta","Venda"))</f>
        <v/>
      </c>
      <c r="I106" s="13" t="n"/>
      <c r="J106" s="16">
        <f>IF(OR(G106="",I106="",L106="Sim"),"",I106+VLOOKUP(G106,$M$3:$N$7,2,FALSE))</f>
        <v/>
      </c>
      <c r="K106" s="17">
        <f>IF(L106="Sim","Perdido",IF(J106="","",IF(J106&lt;TODAY(),"ATRASADO",IF(J106=TODAY(),"Hoje","Em dia"))))</f>
        <v/>
      </c>
      <c r="L106" s="14" t="n"/>
      <c r="M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5">
        <f>IF(G107="","",CHOOSE(G107,"Lead","Atendimento","Visita","Proposta","Venda"))</f>
        <v/>
      </c>
      <c r="I107" s="13" t="n"/>
      <c r="J107" s="16">
        <f>IF(OR(G107="",I107="",L107="Sim"),"",I107+VLOOKUP(G107,$M$3:$N$7,2,FALSE))</f>
        <v/>
      </c>
      <c r="K107" s="17">
        <f>IF(L107="Sim","Perdido",IF(J107="","",IF(J107&lt;TODAY(),"ATRASADO",IF(J107=TODAY(),"Hoje","Em dia"))))</f>
        <v/>
      </c>
      <c r="L107" s="14" t="n"/>
      <c r="M107" s="14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5">
        <f>IF(G108="","",CHOOSE(G108,"Lead","Atendimento","Visita","Proposta","Venda"))</f>
        <v/>
      </c>
      <c r="I108" s="13" t="n"/>
      <c r="J108" s="16">
        <f>IF(OR(G108="",I108="",L108="Sim"),"",I108+VLOOKUP(G108,$M$3:$N$7,2,FALSE))</f>
        <v/>
      </c>
      <c r="K108" s="17">
        <f>IF(L108="Sim","Perdido",IF(J108="","",IF(J108&lt;TODAY(),"ATRASADO",IF(J108=TODAY(),"Hoje","Em dia"))))</f>
        <v/>
      </c>
      <c r="L108" s="14" t="n"/>
      <c r="M108" s="14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5">
        <f>IF(G109="","",CHOOSE(G109,"Lead","Atendimento","Visita","Proposta","Venda"))</f>
        <v/>
      </c>
      <c r="I109" s="13" t="n"/>
      <c r="J109" s="16">
        <f>IF(OR(G109="",I109="",L109="Sim"),"",I109+VLOOKUP(G109,$M$3:$N$7,2,FALSE))</f>
        <v/>
      </c>
      <c r="K109" s="17">
        <f>IF(L109="Sim","Perdido",IF(J109="","",IF(J109&lt;TODAY(),"ATRASADO",IF(J109=TODAY(),"Hoje","Em dia"))))</f>
        <v/>
      </c>
      <c r="L109" s="14" t="n"/>
      <c r="M109" s="14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5">
        <f>IF(G110="","",CHOOSE(G110,"Lead","Atendimento","Visita","Proposta","Venda"))</f>
        <v/>
      </c>
      <c r="I110" s="13" t="n"/>
      <c r="J110" s="16">
        <f>IF(OR(G110="",I110="",L110="Sim"),"",I110+VLOOKUP(G110,$M$3:$N$7,2,FALSE))</f>
        <v/>
      </c>
      <c r="K110" s="17">
        <f>IF(L110="Sim","Perdido",IF(J110="","",IF(J110&lt;TODAY(),"ATRASADO",IF(J110=TODAY(),"Hoje","Em dia"))))</f>
        <v/>
      </c>
      <c r="L110" s="14" t="n"/>
      <c r="M110" s="14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5">
        <f>IF(G111="","",CHOOSE(G111,"Lead","Atendimento","Visita","Proposta","Venda"))</f>
        <v/>
      </c>
      <c r="I111" s="13" t="n"/>
      <c r="J111" s="16">
        <f>IF(OR(G111="",I111="",L111="Sim"),"",I111+VLOOKUP(G111,$M$3:$N$7,2,FALSE))</f>
        <v/>
      </c>
      <c r="K111" s="17">
        <f>IF(L111="Sim","Perdido",IF(J111="","",IF(J111&lt;TODAY(),"ATRASADO",IF(J111=TODAY(),"Hoje","Em dia"))))</f>
        <v/>
      </c>
      <c r="L111" s="14" t="n"/>
      <c r="M111" s="14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5">
        <f>IF(G112="","",CHOOSE(G112,"Lead","Atendimento","Visita","Proposta","Venda"))</f>
        <v/>
      </c>
      <c r="I112" s="13" t="n"/>
      <c r="J112" s="16">
        <f>IF(OR(G112="",I112="",L112="Sim"),"",I112+VLOOKUP(G112,$M$3:$N$7,2,FALSE))</f>
        <v/>
      </c>
      <c r="K112" s="17">
        <f>IF(L112="Sim","Perdido",IF(J112="","",IF(J112&lt;TODAY(),"ATRASADO",IF(J112=TODAY(),"Hoje","Em dia"))))</f>
        <v/>
      </c>
      <c r="L112" s="14" t="n"/>
      <c r="M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5">
        <f>IF(G113="","",CHOOSE(G113,"Lead","Atendimento","Visita","Proposta","Venda"))</f>
        <v/>
      </c>
      <c r="I113" s="13" t="n"/>
      <c r="J113" s="16">
        <f>IF(OR(G113="",I113="",L113="Sim"),"",I113+VLOOKUP(G113,$M$3:$N$7,2,FALSE))</f>
        <v/>
      </c>
      <c r="K113" s="17">
        <f>IF(L113="Sim","Perdido",IF(J113="","",IF(J113&lt;TODAY(),"ATRASADO",IF(J113=TODAY(),"Hoje","Em dia"))))</f>
        <v/>
      </c>
      <c r="L113" s="14" t="n"/>
      <c r="M113" s="14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5">
        <f>IF(G114="","",CHOOSE(G114,"Lead","Atendimento","Visita","Proposta","Venda"))</f>
        <v/>
      </c>
      <c r="I114" s="13" t="n"/>
      <c r="J114" s="16">
        <f>IF(OR(G114="",I114="",L114="Sim"),"",I114+VLOOKUP(G114,$M$3:$N$7,2,FALSE))</f>
        <v/>
      </c>
      <c r="K114" s="17">
        <f>IF(L114="Sim","Perdido",IF(J114="","",IF(J114&lt;TODAY(),"ATRASADO",IF(J114=TODAY(),"Hoje","Em dia"))))</f>
        <v/>
      </c>
      <c r="L114" s="14" t="n"/>
      <c r="M114" s="14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5">
        <f>IF(G115="","",CHOOSE(G115,"Lead","Atendimento","Visita","Proposta","Venda"))</f>
        <v/>
      </c>
      <c r="I115" s="13" t="n"/>
      <c r="J115" s="16">
        <f>IF(OR(G115="",I115="",L115="Sim"),"",I115+VLOOKUP(G115,$M$3:$N$7,2,FALSE))</f>
        <v/>
      </c>
      <c r="K115" s="17">
        <f>IF(L115="Sim","Perdido",IF(J115="","",IF(J115&lt;TODAY(),"ATRASADO",IF(J115=TODAY(),"Hoje","Em dia"))))</f>
        <v/>
      </c>
      <c r="L115" s="14" t="n"/>
      <c r="M115" s="14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5">
        <f>IF(G116="","",CHOOSE(G116,"Lead","Atendimento","Visita","Proposta","Venda"))</f>
        <v/>
      </c>
      <c r="I116" s="13" t="n"/>
      <c r="J116" s="16">
        <f>IF(OR(G116="",I116="",L116="Sim"),"",I116+VLOOKUP(G116,$M$3:$N$7,2,FALSE))</f>
        <v/>
      </c>
      <c r="K116" s="17">
        <f>IF(L116="Sim","Perdido",IF(J116="","",IF(J116&lt;TODAY(),"ATRASADO",IF(J116=TODAY(),"Hoje","Em dia"))))</f>
        <v/>
      </c>
      <c r="L116" s="14" t="n"/>
      <c r="M116" s="14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5">
        <f>IF(G117="","",CHOOSE(G117,"Lead","Atendimento","Visita","Proposta","Venda"))</f>
        <v/>
      </c>
      <c r="I117" s="13" t="n"/>
      <c r="J117" s="16">
        <f>IF(OR(G117="",I117="",L117="Sim"),"",I117+VLOOKUP(G117,$M$3:$N$7,2,FALSE))</f>
        <v/>
      </c>
      <c r="K117" s="17">
        <f>IF(L117="Sim","Perdido",IF(J117="","",IF(J117&lt;TODAY(),"ATRASADO",IF(J117=TODAY(),"Hoje","Em dia"))))</f>
        <v/>
      </c>
      <c r="L117" s="14" t="n"/>
      <c r="M117" s="14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5">
        <f>IF(G118="","",CHOOSE(G118,"Lead","Atendimento","Visita","Proposta","Venda"))</f>
        <v/>
      </c>
      <c r="I118" s="13" t="n"/>
      <c r="J118" s="16">
        <f>IF(OR(G118="",I118="",L118="Sim"),"",I118+VLOOKUP(G118,$M$3:$N$7,2,FALSE))</f>
        <v/>
      </c>
      <c r="K118" s="17">
        <f>IF(L118="Sim","Perdido",IF(J118="","",IF(J118&lt;TODAY(),"ATRASADO",IF(J118=TODAY(),"Hoje","Em dia"))))</f>
        <v/>
      </c>
      <c r="L118" s="14" t="n"/>
      <c r="M118" s="14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5">
        <f>IF(G119="","",CHOOSE(G119,"Lead","Atendimento","Visita","Proposta","Venda"))</f>
        <v/>
      </c>
      <c r="I119" s="13" t="n"/>
      <c r="J119" s="16">
        <f>IF(OR(G119="",I119="",L119="Sim"),"",I119+VLOOKUP(G119,$M$3:$N$7,2,FALSE))</f>
        <v/>
      </c>
      <c r="K119" s="17">
        <f>IF(L119="Sim","Perdido",IF(J119="","",IF(J119&lt;TODAY(),"ATRASADO",IF(J119=TODAY(),"Hoje","Em dia"))))</f>
        <v/>
      </c>
      <c r="L119" s="14" t="n"/>
      <c r="M119" s="14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5">
        <f>IF(G120="","",CHOOSE(G120,"Lead","Atendimento","Visita","Proposta","Venda"))</f>
        <v/>
      </c>
      <c r="I120" s="13" t="n"/>
      <c r="J120" s="16">
        <f>IF(OR(G120="",I120="",L120="Sim"),"",I120+VLOOKUP(G120,$M$3:$N$7,2,FALSE))</f>
        <v/>
      </c>
      <c r="K120" s="17">
        <f>IF(L120="Sim","Perdido",IF(J120="","",IF(J120&lt;TODAY(),"ATRASADO",IF(J120=TODAY(),"Hoje","Em dia"))))</f>
        <v/>
      </c>
      <c r="L120" s="14" t="n"/>
      <c r="M120" s="14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5">
        <f>IF(G121="","",CHOOSE(G121,"Lead","Atendimento","Visita","Proposta","Venda"))</f>
        <v/>
      </c>
      <c r="I121" s="13" t="n"/>
      <c r="J121" s="16">
        <f>IF(OR(G121="",I121="",L121="Sim"),"",I121+VLOOKUP(G121,$M$3:$N$7,2,FALSE))</f>
        <v/>
      </c>
      <c r="K121" s="17">
        <f>IF(L121="Sim","Perdido",IF(J121="","",IF(J121&lt;TODAY(),"ATRASADO",IF(J121=TODAY(),"Hoje","Em dia"))))</f>
        <v/>
      </c>
      <c r="L121" s="14" t="n"/>
      <c r="M121" s="14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5">
        <f>IF(G122="","",CHOOSE(G122,"Lead","Atendimento","Visita","Proposta","Venda"))</f>
        <v/>
      </c>
      <c r="I122" s="13" t="n"/>
      <c r="J122" s="16">
        <f>IF(OR(G122="",I122="",L122="Sim"),"",I122+VLOOKUP(G122,$M$3:$N$7,2,FALSE))</f>
        <v/>
      </c>
      <c r="K122" s="17">
        <f>IF(L122="Sim","Perdido",IF(J122="","",IF(J122&lt;TODAY(),"ATRASADO",IF(J122=TODAY(),"Hoje","Em dia"))))</f>
        <v/>
      </c>
      <c r="L122" s="14" t="n"/>
      <c r="M122" s="14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5">
        <f>IF(G123="","",CHOOSE(G123,"Lead","Atendimento","Visita","Proposta","Venda"))</f>
        <v/>
      </c>
      <c r="I123" s="13" t="n"/>
      <c r="J123" s="16">
        <f>IF(OR(G123="",I123="",L123="Sim"),"",I123+VLOOKUP(G123,$M$3:$N$7,2,FALSE))</f>
        <v/>
      </c>
      <c r="K123" s="17">
        <f>IF(L123="Sim","Perdido",IF(J123="","",IF(J123&lt;TODAY(),"ATRASADO",IF(J123=TODAY(),"Hoje","Em dia"))))</f>
        <v/>
      </c>
      <c r="L123" s="14" t="n"/>
      <c r="M123" s="14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5">
        <f>IF(G124="","",CHOOSE(G124,"Lead","Atendimento","Visita","Proposta","Venda"))</f>
        <v/>
      </c>
      <c r="I124" s="13" t="n"/>
      <c r="J124" s="16">
        <f>IF(OR(G124="",I124="",L124="Sim"),"",I124+VLOOKUP(G124,$M$3:$N$7,2,FALSE))</f>
        <v/>
      </c>
      <c r="K124" s="17">
        <f>IF(L124="Sim","Perdido",IF(J124="","",IF(J124&lt;TODAY(),"ATRASADO",IF(J124=TODAY(),"Hoje","Em dia"))))</f>
        <v/>
      </c>
      <c r="L124" s="14" t="n"/>
      <c r="M124" s="14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5">
        <f>IF(G125="","",CHOOSE(G125,"Lead","Atendimento","Visita","Proposta","Venda"))</f>
        <v/>
      </c>
      <c r="I125" s="13" t="n"/>
      <c r="J125" s="16">
        <f>IF(OR(G125="",I125="",L125="Sim"),"",I125+VLOOKUP(G125,$M$3:$N$7,2,FALSE))</f>
        <v/>
      </c>
      <c r="K125" s="17">
        <f>IF(L125="Sim","Perdido",IF(J125="","",IF(J125&lt;TODAY(),"ATRASADO",IF(J125=TODAY(),"Hoje","Em dia"))))</f>
        <v/>
      </c>
      <c r="L125" s="14" t="n"/>
      <c r="M125" s="14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5">
        <f>IF(G126="","",CHOOSE(G126,"Lead","Atendimento","Visita","Proposta","Venda"))</f>
        <v/>
      </c>
      <c r="I126" s="13" t="n"/>
      <c r="J126" s="16">
        <f>IF(OR(G126="",I126="",L126="Sim"),"",I126+VLOOKUP(G126,$M$3:$N$7,2,FALSE))</f>
        <v/>
      </c>
      <c r="K126" s="17">
        <f>IF(L126="Sim","Perdido",IF(J126="","",IF(J126&lt;TODAY(),"ATRASADO",IF(J126=TODAY(),"Hoje","Em dia"))))</f>
        <v/>
      </c>
      <c r="L126" s="14" t="n"/>
      <c r="M126" s="14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5">
        <f>IF(G127="","",CHOOSE(G127,"Lead","Atendimento","Visita","Proposta","Venda"))</f>
        <v/>
      </c>
      <c r="I127" s="13" t="n"/>
      <c r="J127" s="16">
        <f>IF(OR(G127="",I127="",L127="Sim"),"",I127+VLOOKUP(G127,$M$3:$N$7,2,FALSE))</f>
        <v/>
      </c>
      <c r="K127" s="17">
        <f>IF(L127="Sim","Perdido",IF(J127="","",IF(J127&lt;TODAY(),"ATRASADO",IF(J127=TODAY(),"Hoje","Em dia"))))</f>
        <v/>
      </c>
      <c r="L127" s="14" t="n"/>
      <c r="M127" s="14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5">
        <f>IF(G128="","",CHOOSE(G128,"Lead","Atendimento","Visita","Proposta","Venda"))</f>
        <v/>
      </c>
      <c r="I128" s="13" t="n"/>
      <c r="J128" s="16">
        <f>IF(OR(G128="",I128="",L128="Sim"),"",I128+VLOOKUP(G128,$M$3:$N$7,2,FALSE))</f>
        <v/>
      </c>
      <c r="K128" s="17">
        <f>IF(L128="Sim","Perdido",IF(J128="","",IF(J128&lt;TODAY(),"ATRASADO",IF(J128=TODAY(),"Hoje","Em dia"))))</f>
        <v/>
      </c>
      <c r="L128" s="14" t="n"/>
      <c r="M128" s="14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5">
        <f>IF(G129="","",CHOOSE(G129,"Lead","Atendimento","Visita","Proposta","Venda"))</f>
        <v/>
      </c>
      <c r="I129" s="13" t="n"/>
      <c r="J129" s="16">
        <f>IF(OR(G129="",I129="",L129="Sim"),"",I129+VLOOKUP(G129,$M$3:$N$7,2,FALSE))</f>
        <v/>
      </c>
      <c r="K129" s="17">
        <f>IF(L129="Sim","Perdido",IF(J129="","",IF(J129&lt;TODAY(),"ATRASADO",IF(J129=TODAY(),"Hoje","Em dia"))))</f>
        <v/>
      </c>
      <c r="L129" s="14" t="n"/>
      <c r="M129" s="14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5">
        <f>IF(G130="","",CHOOSE(G130,"Lead","Atendimento","Visita","Proposta","Venda"))</f>
        <v/>
      </c>
      <c r="I130" s="13" t="n"/>
      <c r="J130" s="16">
        <f>IF(OR(G130="",I130="",L130="Sim"),"",I130+VLOOKUP(G130,$M$3:$N$7,2,FALSE))</f>
        <v/>
      </c>
      <c r="K130" s="17">
        <f>IF(L130="Sim","Perdido",IF(J130="","",IF(J130&lt;TODAY(),"ATRASADO",IF(J130=TODAY(),"Hoje","Em dia"))))</f>
        <v/>
      </c>
      <c r="L130" s="14" t="n"/>
      <c r="M130" s="14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5">
        <f>IF(G131="","",CHOOSE(G131,"Lead","Atendimento","Visita","Proposta","Venda"))</f>
        <v/>
      </c>
      <c r="I131" s="13" t="n"/>
      <c r="J131" s="16">
        <f>IF(OR(G131="",I131="",L131="Sim"),"",I131+VLOOKUP(G131,$M$3:$N$7,2,FALSE))</f>
        <v/>
      </c>
      <c r="K131" s="17">
        <f>IF(L131="Sim","Perdido",IF(J131="","",IF(J131&lt;TODAY(),"ATRASADO",IF(J131=TODAY(),"Hoje","Em dia"))))</f>
        <v/>
      </c>
      <c r="L131" s="14" t="n"/>
      <c r="M131" s="14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5">
        <f>IF(G132="","",CHOOSE(G132,"Lead","Atendimento","Visita","Proposta","Venda"))</f>
        <v/>
      </c>
      <c r="I132" s="13" t="n"/>
      <c r="J132" s="16">
        <f>IF(OR(G132="",I132="",L132="Sim"),"",I132+VLOOKUP(G132,$M$3:$N$7,2,FALSE))</f>
        <v/>
      </c>
      <c r="K132" s="17">
        <f>IF(L132="Sim","Perdido",IF(J132="","",IF(J132&lt;TODAY(),"ATRASADO",IF(J132=TODAY(),"Hoje","Em dia"))))</f>
        <v/>
      </c>
      <c r="L132" s="14" t="n"/>
      <c r="M132" s="14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5">
        <f>IF(G133="","",CHOOSE(G133,"Lead","Atendimento","Visita","Proposta","Venda"))</f>
        <v/>
      </c>
      <c r="I133" s="13" t="n"/>
      <c r="J133" s="16">
        <f>IF(OR(G133="",I133="",L133="Sim"),"",I133+VLOOKUP(G133,$M$3:$N$7,2,FALSE))</f>
        <v/>
      </c>
      <c r="K133" s="17">
        <f>IF(L133="Sim","Perdido",IF(J133="","",IF(J133&lt;TODAY(),"ATRASADO",IF(J133=TODAY(),"Hoje","Em dia"))))</f>
        <v/>
      </c>
      <c r="L133" s="14" t="n"/>
      <c r="M133" s="14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5">
        <f>IF(G134="","",CHOOSE(G134,"Lead","Atendimento","Visita","Proposta","Venda"))</f>
        <v/>
      </c>
      <c r="I134" s="13" t="n"/>
      <c r="J134" s="16">
        <f>IF(OR(G134="",I134="",L134="Sim"),"",I134+VLOOKUP(G134,$M$3:$N$7,2,FALSE))</f>
        <v/>
      </c>
      <c r="K134" s="17">
        <f>IF(L134="Sim","Perdido",IF(J134="","",IF(J134&lt;TODAY(),"ATRASADO",IF(J134=TODAY(),"Hoje","Em dia"))))</f>
        <v/>
      </c>
      <c r="L134" s="14" t="n"/>
      <c r="M134" s="14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5">
        <f>IF(G135="","",CHOOSE(G135,"Lead","Atendimento","Visita","Proposta","Venda"))</f>
        <v/>
      </c>
      <c r="I135" s="13" t="n"/>
      <c r="J135" s="16">
        <f>IF(OR(G135="",I135="",L135="Sim"),"",I135+VLOOKUP(G135,$M$3:$N$7,2,FALSE))</f>
        <v/>
      </c>
      <c r="K135" s="17">
        <f>IF(L135="Sim","Perdido",IF(J135="","",IF(J135&lt;TODAY(),"ATRASADO",IF(J135=TODAY(),"Hoje","Em dia"))))</f>
        <v/>
      </c>
      <c r="L135" s="14" t="n"/>
      <c r="M135" s="14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5">
        <f>IF(G136="","",CHOOSE(G136,"Lead","Atendimento","Visita","Proposta","Venda"))</f>
        <v/>
      </c>
      <c r="I136" s="13" t="n"/>
      <c r="J136" s="16">
        <f>IF(OR(G136="",I136="",L136="Sim"),"",I136+VLOOKUP(G136,$M$3:$N$7,2,FALSE))</f>
        <v/>
      </c>
      <c r="K136" s="17">
        <f>IF(L136="Sim","Perdido",IF(J136="","",IF(J136&lt;TODAY(),"ATRASADO",IF(J136=TODAY(),"Hoje","Em dia"))))</f>
        <v/>
      </c>
      <c r="L136" s="14" t="n"/>
      <c r="M136" s="14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5">
        <f>IF(G137="","",CHOOSE(G137,"Lead","Atendimento","Visita","Proposta","Venda"))</f>
        <v/>
      </c>
      <c r="I137" s="13" t="n"/>
      <c r="J137" s="16">
        <f>IF(OR(G137="",I137="",L137="Sim"),"",I137+VLOOKUP(G137,$M$3:$N$7,2,FALSE))</f>
        <v/>
      </c>
      <c r="K137" s="17">
        <f>IF(L137="Sim","Perdido",IF(J137="","",IF(J137&lt;TODAY(),"ATRASADO",IF(J137=TODAY(),"Hoje","Em dia"))))</f>
        <v/>
      </c>
      <c r="L137" s="14" t="n"/>
      <c r="M137" s="14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5">
        <f>IF(G138="","",CHOOSE(G138,"Lead","Atendimento","Visita","Proposta","Venda"))</f>
        <v/>
      </c>
      <c r="I138" s="13" t="n"/>
      <c r="J138" s="16">
        <f>IF(OR(G138="",I138="",L138="Sim"),"",I138+VLOOKUP(G138,$M$3:$N$7,2,FALSE))</f>
        <v/>
      </c>
      <c r="K138" s="17">
        <f>IF(L138="Sim","Perdido",IF(J138="","",IF(J138&lt;TODAY(),"ATRASADO",IF(J138=TODAY(),"Hoje","Em dia"))))</f>
        <v/>
      </c>
      <c r="L138" s="14" t="n"/>
      <c r="M138" s="14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5">
        <f>IF(G139="","",CHOOSE(G139,"Lead","Atendimento","Visita","Proposta","Venda"))</f>
        <v/>
      </c>
      <c r="I139" s="13" t="n"/>
      <c r="J139" s="16">
        <f>IF(OR(G139="",I139="",L139="Sim"),"",I139+VLOOKUP(G139,$M$3:$N$7,2,FALSE))</f>
        <v/>
      </c>
      <c r="K139" s="17">
        <f>IF(L139="Sim","Perdido",IF(J139="","",IF(J139&lt;TODAY(),"ATRASADO",IF(J139=TODAY(),"Hoje","Em dia"))))</f>
        <v/>
      </c>
      <c r="L139" s="14" t="n"/>
      <c r="M139" s="14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5">
        <f>IF(G140="","",CHOOSE(G140,"Lead","Atendimento","Visita","Proposta","Venda"))</f>
        <v/>
      </c>
      <c r="I140" s="13" t="n"/>
      <c r="J140" s="16">
        <f>IF(OR(G140="",I140="",L140="Sim"),"",I140+VLOOKUP(G140,$M$3:$N$7,2,FALSE))</f>
        <v/>
      </c>
      <c r="K140" s="17">
        <f>IF(L140="Sim","Perdido",IF(J140="","",IF(J140&lt;TODAY(),"ATRASADO",IF(J140=TODAY(),"Hoje","Em dia"))))</f>
        <v/>
      </c>
      <c r="L140" s="14" t="n"/>
      <c r="M140" s="14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5">
        <f>IF(G141="","",CHOOSE(G141,"Lead","Atendimento","Visita","Proposta","Venda"))</f>
        <v/>
      </c>
      <c r="I141" s="13" t="n"/>
      <c r="J141" s="16">
        <f>IF(OR(G141="",I141="",L141="Sim"),"",I141+VLOOKUP(G141,$M$3:$N$7,2,FALSE))</f>
        <v/>
      </c>
      <c r="K141" s="17">
        <f>IF(L141="Sim","Perdido",IF(J141="","",IF(J141&lt;TODAY(),"ATRASADO",IF(J141=TODAY(),"Hoje","Em dia"))))</f>
        <v/>
      </c>
      <c r="L141" s="14" t="n"/>
      <c r="M141" s="14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5">
        <f>IF(G142="","",CHOOSE(G142,"Lead","Atendimento","Visita","Proposta","Venda"))</f>
        <v/>
      </c>
      <c r="I142" s="13" t="n"/>
      <c r="J142" s="16">
        <f>IF(OR(G142="",I142="",L142="Sim"),"",I142+VLOOKUP(G142,$M$3:$N$7,2,FALSE))</f>
        <v/>
      </c>
      <c r="K142" s="17">
        <f>IF(L142="Sim","Perdido",IF(J142="","",IF(J142&lt;TODAY(),"ATRASADO",IF(J142=TODAY(),"Hoje","Em dia"))))</f>
        <v/>
      </c>
      <c r="L142" s="14" t="n"/>
      <c r="M142" s="14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5">
        <f>IF(G143="","",CHOOSE(G143,"Lead","Atendimento","Visita","Proposta","Venda"))</f>
        <v/>
      </c>
      <c r="I143" s="13" t="n"/>
      <c r="J143" s="16">
        <f>IF(OR(G143="",I143="",L143="Sim"),"",I143+VLOOKUP(G143,$M$3:$N$7,2,FALSE))</f>
        <v/>
      </c>
      <c r="K143" s="17">
        <f>IF(L143="Sim","Perdido",IF(J143="","",IF(J143&lt;TODAY(),"ATRASADO",IF(J143=TODAY(),"Hoje","Em dia"))))</f>
        <v/>
      </c>
      <c r="L143" s="14" t="n"/>
      <c r="M143" s="14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5">
        <f>IF(G144="","",CHOOSE(G144,"Lead","Atendimento","Visita","Proposta","Venda"))</f>
        <v/>
      </c>
      <c r="I144" s="13" t="n"/>
      <c r="J144" s="16">
        <f>IF(OR(G144="",I144="",L144="Sim"),"",I144+VLOOKUP(G144,$M$3:$N$7,2,FALSE))</f>
        <v/>
      </c>
      <c r="K144" s="17">
        <f>IF(L144="Sim","Perdido",IF(J144="","",IF(J144&lt;TODAY(),"ATRASADO",IF(J144=TODAY(),"Hoje","Em dia"))))</f>
        <v/>
      </c>
      <c r="L144" s="14" t="n"/>
      <c r="M144" s="14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5">
        <f>IF(G145="","",CHOOSE(G145,"Lead","Atendimento","Visita","Proposta","Venda"))</f>
        <v/>
      </c>
      <c r="I145" s="13" t="n"/>
      <c r="J145" s="16">
        <f>IF(OR(G145="",I145="",L145="Sim"),"",I145+VLOOKUP(G145,$M$3:$N$7,2,FALSE))</f>
        <v/>
      </c>
      <c r="K145" s="17">
        <f>IF(L145="Sim","Perdido",IF(J145="","",IF(J145&lt;TODAY(),"ATRASADO",IF(J145=TODAY(),"Hoje","Em dia"))))</f>
        <v/>
      </c>
      <c r="L145" s="14" t="n"/>
      <c r="M145" s="14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5">
        <f>IF(G146="","",CHOOSE(G146,"Lead","Atendimento","Visita","Proposta","Venda"))</f>
        <v/>
      </c>
      <c r="I146" s="13" t="n"/>
      <c r="J146" s="16">
        <f>IF(OR(G146="",I146="",L146="Sim"),"",I146+VLOOKUP(G146,$M$3:$N$7,2,FALSE))</f>
        <v/>
      </c>
      <c r="K146" s="17">
        <f>IF(L146="Sim","Perdido",IF(J146="","",IF(J146&lt;TODAY(),"ATRASADO",IF(J146=TODAY(),"Hoje","Em dia"))))</f>
        <v/>
      </c>
      <c r="L146" s="14" t="n"/>
      <c r="M146" s="14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5">
        <f>IF(G147="","",CHOOSE(G147,"Lead","Atendimento","Visita","Proposta","Venda"))</f>
        <v/>
      </c>
      <c r="I147" s="13" t="n"/>
      <c r="J147" s="16">
        <f>IF(OR(G147="",I147="",L147="Sim"),"",I147+VLOOKUP(G147,$M$3:$N$7,2,FALSE))</f>
        <v/>
      </c>
      <c r="K147" s="17">
        <f>IF(L147="Sim","Perdido",IF(J147="","",IF(J147&lt;TODAY(),"ATRASADO",IF(J147=TODAY(),"Hoje","Em dia"))))</f>
        <v/>
      </c>
      <c r="L147" s="14" t="n"/>
      <c r="M147" s="14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5">
        <f>IF(G148="","",CHOOSE(G148,"Lead","Atendimento","Visita","Proposta","Venda"))</f>
        <v/>
      </c>
      <c r="I148" s="13" t="n"/>
      <c r="J148" s="16">
        <f>IF(OR(G148="",I148="",L148="Sim"),"",I148+VLOOKUP(G148,$M$3:$N$7,2,FALSE))</f>
        <v/>
      </c>
      <c r="K148" s="17">
        <f>IF(L148="Sim","Perdido",IF(J148="","",IF(J148&lt;TODAY(),"ATRASADO",IF(J148=TODAY(),"Hoje","Em dia"))))</f>
        <v/>
      </c>
      <c r="L148" s="14" t="n"/>
      <c r="M148" s="14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5">
        <f>IF(G149="","",CHOOSE(G149,"Lead","Atendimento","Visita","Proposta","Venda"))</f>
        <v/>
      </c>
      <c r="I149" s="13" t="n"/>
      <c r="J149" s="16">
        <f>IF(OR(G149="",I149="",L149="Sim"),"",I149+VLOOKUP(G149,$M$3:$N$7,2,FALSE))</f>
        <v/>
      </c>
      <c r="K149" s="17">
        <f>IF(L149="Sim","Perdido",IF(J149="","",IF(J149&lt;TODAY(),"ATRASADO",IF(J149=TODAY(),"Hoje","Em dia"))))</f>
        <v/>
      </c>
      <c r="L149" s="14" t="n"/>
      <c r="M149" s="14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5">
        <f>IF(G150="","",CHOOSE(G150,"Lead","Atendimento","Visita","Proposta","Venda"))</f>
        <v/>
      </c>
      <c r="I150" s="13" t="n"/>
      <c r="J150" s="16">
        <f>IF(OR(G150="",I150="",L150="Sim"),"",I150+VLOOKUP(G150,$M$3:$N$7,2,FALSE))</f>
        <v/>
      </c>
      <c r="K150" s="17">
        <f>IF(L150="Sim","Perdido",IF(J150="","",IF(J150&lt;TODAY(),"ATRASADO",IF(J150=TODAY(),"Hoje","Em dia"))))</f>
        <v/>
      </c>
      <c r="L150" s="14" t="n"/>
      <c r="M150" s="14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5">
        <f>IF(G151="","",CHOOSE(G151,"Lead","Atendimento","Visita","Proposta","Venda"))</f>
        <v/>
      </c>
      <c r="I151" s="13" t="n"/>
      <c r="J151" s="16">
        <f>IF(OR(G151="",I151="",L151="Sim"),"",I151+VLOOKUP(G151,$M$3:$N$7,2,FALSE))</f>
        <v/>
      </c>
      <c r="K151" s="17">
        <f>IF(L151="Sim","Perdido",IF(J151="","",IF(J151&lt;TODAY(),"ATRASADO",IF(J151=TODAY(),"Hoje","Em dia"))))</f>
        <v/>
      </c>
      <c r="L151" s="14" t="n"/>
      <c r="M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5">
        <f>IF(G152="","",CHOOSE(G152,"Lead","Atendimento","Visita","Proposta","Venda"))</f>
        <v/>
      </c>
      <c r="I152" s="13" t="n"/>
      <c r="J152" s="16">
        <f>IF(OR(G152="",I152="",L152="Sim"),"",I152+VLOOKUP(G152,$M$3:$N$7,2,FALSE))</f>
        <v/>
      </c>
      <c r="K152" s="17">
        <f>IF(L152="Sim","Perdido",IF(J152="","",IF(J152&lt;TODAY(),"ATRASADO",IF(J152=TODAY(),"Hoje","Em dia"))))</f>
        <v/>
      </c>
      <c r="L152" s="14" t="n"/>
      <c r="M152" s="14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5">
        <f>IF(G153="","",CHOOSE(G153,"Lead","Atendimento","Visita","Proposta","Venda"))</f>
        <v/>
      </c>
      <c r="I153" s="13" t="n"/>
      <c r="J153" s="16">
        <f>IF(OR(G153="",I153="",L153="Sim"),"",I153+VLOOKUP(G153,$M$3:$N$7,2,FALSE))</f>
        <v/>
      </c>
      <c r="K153" s="17">
        <f>IF(L153="Sim","Perdido",IF(J153="","",IF(J153&lt;TODAY(),"ATRASADO",IF(J153=TODAY(),"Hoje","Em dia"))))</f>
        <v/>
      </c>
      <c r="L153" s="14" t="n"/>
      <c r="M153" s="14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5">
        <f>IF(G154="","",CHOOSE(G154,"Lead","Atendimento","Visita","Proposta","Venda"))</f>
        <v/>
      </c>
      <c r="I154" s="13" t="n"/>
      <c r="J154" s="16">
        <f>IF(OR(G154="",I154="",L154="Sim"),"",I154+VLOOKUP(G154,$M$3:$N$7,2,FALSE))</f>
        <v/>
      </c>
      <c r="K154" s="17">
        <f>IF(L154="Sim","Perdido",IF(J154="","",IF(J154&lt;TODAY(),"ATRASADO",IF(J154=TODAY(),"Hoje","Em dia"))))</f>
        <v/>
      </c>
      <c r="L154" s="14" t="n"/>
      <c r="M154" s="14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5">
        <f>IF(G155="","",CHOOSE(G155,"Lead","Atendimento","Visita","Proposta","Venda"))</f>
        <v/>
      </c>
      <c r="I155" s="13" t="n"/>
      <c r="J155" s="16">
        <f>IF(OR(G155="",I155="",L155="Sim"),"",I155+VLOOKUP(G155,$M$3:$N$7,2,FALSE))</f>
        <v/>
      </c>
      <c r="K155" s="17">
        <f>IF(L155="Sim","Perdido",IF(J155="","",IF(J155&lt;TODAY(),"ATRASADO",IF(J155=TODAY(),"Hoje","Em dia"))))</f>
        <v/>
      </c>
      <c r="L155" s="14" t="n"/>
      <c r="M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5">
        <f>IF(G156="","",CHOOSE(G156,"Lead","Atendimento","Visita","Proposta","Venda"))</f>
        <v/>
      </c>
      <c r="I156" s="13" t="n"/>
      <c r="J156" s="16">
        <f>IF(OR(G156="",I156="",L156="Sim"),"",I156+VLOOKUP(G156,$M$3:$N$7,2,FALSE))</f>
        <v/>
      </c>
      <c r="K156" s="17">
        <f>IF(L156="Sim","Perdido",IF(J156="","",IF(J156&lt;TODAY(),"ATRASADO",IF(J156=TODAY(),"Hoje","Em dia"))))</f>
        <v/>
      </c>
      <c r="L156" s="14" t="n"/>
      <c r="M156" s="14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5">
        <f>IF(G157="","",CHOOSE(G157,"Lead","Atendimento","Visita","Proposta","Venda"))</f>
        <v/>
      </c>
      <c r="I157" s="13" t="n"/>
      <c r="J157" s="16">
        <f>IF(OR(G157="",I157="",L157="Sim"),"",I157+VLOOKUP(G157,$M$3:$N$7,2,FALSE))</f>
        <v/>
      </c>
      <c r="K157" s="17">
        <f>IF(L157="Sim","Perdido",IF(J157="","",IF(J157&lt;TODAY(),"ATRASADO",IF(J157=TODAY(),"Hoje","Em dia"))))</f>
        <v/>
      </c>
      <c r="L157" s="14" t="n"/>
      <c r="M157" s="14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5">
        <f>IF(G158="","",CHOOSE(G158,"Lead","Atendimento","Visita","Proposta","Venda"))</f>
        <v/>
      </c>
      <c r="I158" s="13" t="n"/>
      <c r="J158" s="16">
        <f>IF(OR(G158="",I158="",L158="Sim"),"",I158+VLOOKUP(G158,$M$3:$N$7,2,FALSE))</f>
        <v/>
      </c>
      <c r="K158" s="17">
        <f>IF(L158="Sim","Perdido",IF(J158="","",IF(J158&lt;TODAY(),"ATRASADO",IF(J158=TODAY(),"Hoje","Em dia"))))</f>
        <v/>
      </c>
      <c r="L158" s="14" t="n"/>
      <c r="M158" s="14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5">
        <f>IF(G159="","",CHOOSE(G159,"Lead","Atendimento","Visita","Proposta","Venda"))</f>
        <v/>
      </c>
      <c r="I159" s="13" t="n"/>
      <c r="J159" s="16">
        <f>IF(OR(G159="",I159="",L159="Sim"),"",I159+VLOOKUP(G159,$M$3:$N$7,2,FALSE))</f>
        <v/>
      </c>
      <c r="K159" s="17">
        <f>IF(L159="Sim","Perdido",IF(J159="","",IF(J159&lt;TODAY(),"ATRASADO",IF(J159=TODAY(),"Hoje","Em dia"))))</f>
        <v/>
      </c>
      <c r="L159" s="14" t="n"/>
      <c r="M159" s="14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5">
        <f>IF(G160="","",CHOOSE(G160,"Lead","Atendimento","Visita","Proposta","Venda"))</f>
        <v/>
      </c>
      <c r="I160" s="13" t="n"/>
      <c r="J160" s="16">
        <f>IF(OR(G160="",I160="",L160="Sim"),"",I160+VLOOKUP(G160,$M$3:$N$7,2,FALSE))</f>
        <v/>
      </c>
      <c r="K160" s="17">
        <f>IF(L160="Sim","Perdido",IF(J160="","",IF(J160&lt;TODAY(),"ATRASADO",IF(J160=TODAY(),"Hoje","Em dia"))))</f>
        <v/>
      </c>
      <c r="L160" s="14" t="n"/>
      <c r="M160" s="14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5">
        <f>IF(G161="","",CHOOSE(G161,"Lead","Atendimento","Visita","Proposta","Venda"))</f>
        <v/>
      </c>
      <c r="I161" s="13" t="n"/>
      <c r="J161" s="16">
        <f>IF(OR(G161="",I161="",L161="Sim"),"",I161+VLOOKUP(G161,$M$3:$N$7,2,FALSE))</f>
        <v/>
      </c>
      <c r="K161" s="17">
        <f>IF(L161="Sim","Perdido",IF(J161="","",IF(J161&lt;TODAY(),"ATRASADO",IF(J161=TODAY(),"Hoje","Em dia"))))</f>
        <v/>
      </c>
      <c r="L161" s="14" t="n"/>
      <c r="M161" s="14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5">
        <f>IF(G162="","",CHOOSE(G162,"Lead","Atendimento","Visita","Proposta","Venda"))</f>
        <v/>
      </c>
      <c r="I162" s="13" t="n"/>
      <c r="J162" s="16">
        <f>IF(OR(G162="",I162="",L162="Sim"),"",I162+VLOOKUP(G162,$M$3:$N$7,2,FALSE))</f>
        <v/>
      </c>
      <c r="K162" s="17">
        <f>IF(L162="Sim","Perdido",IF(J162="","",IF(J162&lt;TODAY(),"ATRASADO",IF(J162=TODAY(),"Hoje","Em dia"))))</f>
        <v/>
      </c>
      <c r="L162" s="14" t="n"/>
      <c r="M162" s="14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5">
        <f>IF(G163="","",CHOOSE(G163,"Lead","Atendimento","Visita","Proposta","Venda"))</f>
        <v/>
      </c>
      <c r="I163" s="13" t="n"/>
      <c r="J163" s="16">
        <f>IF(OR(G163="",I163="",L163="Sim"),"",I163+VLOOKUP(G163,$M$3:$N$7,2,FALSE))</f>
        <v/>
      </c>
      <c r="K163" s="17">
        <f>IF(L163="Sim","Perdido",IF(J163="","",IF(J163&lt;TODAY(),"ATRASADO",IF(J163=TODAY(),"Hoje","Em dia"))))</f>
        <v/>
      </c>
      <c r="L163" s="14" t="n"/>
      <c r="M163" s="14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5">
        <f>IF(G164="","",CHOOSE(G164,"Lead","Atendimento","Visita","Proposta","Venda"))</f>
        <v/>
      </c>
      <c r="I164" s="13" t="n"/>
      <c r="J164" s="16">
        <f>IF(OR(G164="",I164="",L164="Sim"),"",I164+VLOOKUP(G164,$M$3:$N$7,2,FALSE))</f>
        <v/>
      </c>
      <c r="K164" s="17">
        <f>IF(L164="Sim","Perdido",IF(J164="","",IF(J164&lt;TODAY(),"ATRASADO",IF(J164=TODAY(),"Hoje","Em dia"))))</f>
        <v/>
      </c>
      <c r="L164" s="14" t="n"/>
      <c r="M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5">
        <f>IF(G165="","",CHOOSE(G165,"Lead","Atendimento","Visita","Proposta","Venda"))</f>
        <v/>
      </c>
      <c r="I165" s="13" t="n"/>
      <c r="J165" s="16">
        <f>IF(OR(G165="",I165="",L165="Sim"),"",I165+VLOOKUP(G165,$M$3:$N$7,2,FALSE))</f>
        <v/>
      </c>
      <c r="K165" s="17">
        <f>IF(L165="Sim","Perdido",IF(J165="","",IF(J165&lt;TODAY(),"ATRASADO",IF(J165=TODAY(),"Hoje","Em dia"))))</f>
        <v/>
      </c>
      <c r="L165" s="14" t="n"/>
      <c r="M165" s="14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5">
        <f>IF(G166="","",CHOOSE(G166,"Lead","Atendimento","Visita","Proposta","Venda"))</f>
        <v/>
      </c>
      <c r="I166" s="13" t="n"/>
      <c r="J166" s="16">
        <f>IF(OR(G166="",I166="",L166="Sim"),"",I166+VLOOKUP(G166,$M$3:$N$7,2,FALSE))</f>
        <v/>
      </c>
      <c r="K166" s="17">
        <f>IF(L166="Sim","Perdido",IF(J166="","",IF(J166&lt;TODAY(),"ATRASADO",IF(J166=TODAY(),"Hoje","Em dia"))))</f>
        <v/>
      </c>
      <c r="L166" s="14" t="n"/>
      <c r="M166" s="14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5">
        <f>IF(G167="","",CHOOSE(G167,"Lead","Atendimento","Visita","Proposta","Venda"))</f>
        <v/>
      </c>
      <c r="I167" s="13" t="n"/>
      <c r="J167" s="16">
        <f>IF(OR(G167="",I167="",L167="Sim"),"",I167+VLOOKUP(G167,$M$3:$N$7,2,FALSE))</f>
        <v/>
      </c>
      <c r="K167" s="17">
        <f>IF(L167="Sim","Perdido",IF(J167="","",IF(J167&lt;TODAY(),"ATRASADO",IF(J167=TODAY(),"Hoje","Em dia"))))</f>
        <v/>
      </c>
      <c r="L167" s="14" t="n"/>
      <c r="M167" s="14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5">
        <f>IF(G168="","",CHOOSE(G168,"Lead","Atendimento","Visita","Proposta","Venda"))</f>
        <v/>
      </c>
      <c r="I168" s="13" t="n"/>
      <c r="J168" s="16">
        <f>IF(OR(G168="",I168="",L168="Sim"),"",I168+VLOOKUP(G168,$M$3:$N$7,2,FALSE))</f>
        <v/>
      </c>
      <c r="K168" s="17">
        <f>IF(L168="Sim","Perdido",IF(J168="","",IF(J168&lt;TODAY(),"ATRASADO",IF(J168=TODAY(),"Hoje","Em dia"))))</f>
        <v/>
      </c>
      <c r="L168" s="14" t="n"/>
      <c r="M168" s="14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5">
        <f>IF(G169="","",CHOOSE(G169,"Lead","Atendimento","Visita","Proposta","Venda"))</f>
        <v/>
      </c>
      <c r="I169" s="13" t="n"/>
      <c r="J169" s="16">
        <f>IF(OR(G169="",I169="",L169="Sim"),"",I169+VLOOKUP(G169,$M$3:$N$7,2,FALSE))</f>
        <v/>
      </c>
      <c r="K169" s="17">
        <f>IF(L169="Sim","Perdido",IF(J169="","",IF(J169&lt;TODAY(),"ATRASADO",IF(J169=TODAY(),"Hoje","Em dia"))))</f>
        <v/>
      </c>
      <c r="L169" s="14" t="n"/>
      <c r="M169" s="14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5">
        <f>IF(G170="","",CHOOSE(G170,"Lead","Atendimento","Visita","Proposta","Venda"))</f>
        <v/>
      </c>
      <c r="I170" s="13" t="n"/>
      <c r="J170" s="16">
        <f>IF(OR(G170="",I170="",L170="Sim"),"",I170+VLOOKUP(G170,$M$3:$N$7,2,FALSE))</f>
        <v/>
      </c>
      <c r="K170" s="17">
        <f>IF(L170="Sim","Perdido",IF(J170="","",IF(J170&lt;TODAY(),"ATRASADO",IF(J170=TODAY(),"Hoje","Em dia"))))</f>
        <v/>
      </c>
      <c r="L170" s="14" t="n"/>
      <c r="M170" s="14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5">
        <f>IF(G171="","",CHOOSE(G171,"Lead","Atendimento","Visita","Proposta","Venda"))</f>
        <v/>
      </c>
      <c r="I171" s="13" t="n"/>
      <c r="J171" s="16">
        <f>IF(OR(G171="",I171="",L171="Sim"),"",I171+VLOOKUP(G171,$M$3:$N$7,2,FALSE))</f>
        <v/>
      </c>
      <c r="K171" s="17">
        <f>IF(L171="Sim","Perdido",IF(J171="","",IF(J171&lt;TODAY(),"ATRASADO",IF(J171=TODAY(),"Hoje","Em dia"))))</f>
        <v/>
      </c>
      <c r="L171" s="14" t="n"/>
      <c r="M171" s="14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5">
        <f>IF(G172="","",CHOOSE(G172,"Lead","Atendimento","Visita","Proposta","Venda"))</f>
        <v/>
      </c>
      <c r="I172" s="13" t="n"/>
      <c r="J172" s="16">
        <f>IF(OR(G172="",I172="",L172="Sim"),"",I172+VLOOKUP(G172,$M$3:$N$7,2,FALSE))</f>
        <v/>
      </c>
      <c r="K172" s="17">
        <f>IF(L172="Sim","Perdido",IF(J172="","",IF(J172&lt;TODAY(),"ATRASADO",IF(J172=TODAY(),"Hoje","Em dia"))))</f>
        <v/>
      </c>
      <c r="L172" s="14" t="n"/>
      <c r="M172" s="14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5">
        <f>IF(G173="","",CHOOSE(G173,"Lead","Atendimento","Visita","Proposta","Venda"))</f>
        <v/>
      </c>
      <c r="I173" s="13" t="n"/>
      <c r="J173" s="16">
        <f>IF(OR(G173="",I173="",L173="Sim"),"",I173+VLOOKUP(G173,$M$3:$N$7,2,FALSE))</f>
        <v/>
      </c>
      <c r="K173" s="17">
        <f>IF(L173="Sim","Perdido",IF(J173="","",IF(J173&lt;TODAY(),"ATRASADO",IF(J173=TODAY(),"Hoje","Em dia"))))</f>
        <v/>
      </c>
      <c r="L173" s="14" t="n"/>
      <c r="M173" s="14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5">
        <f>IF(G174="","",CHOOSE(G174,"Lead","Atendimento","Visita","Proposta","Venda"))</f>
        <v/>
      </c>
      <c r="I174" s="13" t="n"/>
      <c r="J174" s="16">
        <f>IF(OR(G174="",I174="",L174="Sim"),"",I174+VLOOKUP(G174,$M$3:$N$7,2,FALSE))</f>
        <v/>
      </c>
      <c r="K174" s="17">
        <f>IF(L174="Sim","Perdido",IF(J174="","",IF(J174&lt;TODAY(),"ATRASADO",IF(J174=TODAY(),"Hoje","Em dia"))))</f>
        <v/>
      </c>
      <c r="L174" s="14" t="n"/>
      <c r="M174" s="14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5">
        <f>IF(G175="","",CHOOSE(G175,"Lead","Atendimento","Visita","Proposta","Venda"))</f>
        <v/>
      </c>
      <c r="I175" s="13" t="n"/>
      <c r="J175" s="16">
        <f>IF(OR(G175="",I175="",L175="Sim"),"",I175+VLOOKUP(G175,$M$3:$N$7,2,FALSE))</f>
        <v/>
      </c>
      <c r="K175" s="17">
        <f>IF(L175="Sim","Perdido",IF(J175="","",IF(J175&lt;TODAY(),"ATRASADO",IF(J175=TODAY(),"Hoje","Em dia"))))</f>
        <v/>
      </c>
      <c r="L175" s="14" t="n"/>
      <c r="M175" s="14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5">
        <f>IF(G176="","",CHOOSE(G176,"Lead","Atendimento","Visita","Proposta","Venda"))</f>
        <v/>
      </c>
      <c r="I176" s="13" t="n"/>
      <c r="J176" s="16">
        <f>IF(OR(G176="",I176="",L176="Sim"),"",I176+VLOOKUP(G176,$M$3:$N$7,2,FALSE))</f>
        <v/>
      </c>
      <c r="K176" s="17">
        <f>IF(L176="Sim","Perdido",IF(J176="","",IF(J176&lt;TODAY(),"ATRASADO",IF(J176=TODAY(),"Hoje","Em dia"))))</f>
        <v/>
      </c>
      <c r="L176" s="14" t="n"/>
      <c r="M176" s="14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5">
        <f>IF(G177="","",CHOOSE(G177,"Lead","Atendimento","Visita","Proposta","Venda"))</f>
        <v/>
      </c>
      <c r="I177" s="13" t="n"/>
      <c r="J177" s="16">
        <f>IF(OR(G177="",I177="",L177="Sim"),"",I177+VLOOKUP(G177,$M$3:$N$7,2,FALSE))</f>
        <v/>
      </c>
      <c r="K177" s="17">
        <f>IF(L177="Sim","Perdido",IF(J177="","",IF(J177&lt;TODAY(),"ATRASADO",IF(J177=TODAY(),"Hoje","Em dia"))))</f>
        <v/>
      </c>
      <c r="L177" s="14" t="n"/>
      <c r="M177" s="14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5">
        <f>IF(G178="","",CHOOSE(G178,"Lead","Atendimento","Visita","Proposta","Venda"))</f>
        <v/>
      </c>
      <c r="I178" s="13" t="n"/>
      <c r="J178" s="16">
        <f>IF(OR(G178="",I178="",L178="Sim"),"",I178+VLOOKUP(G178,$M$3:$N$7,2,FALSE))</f>
        <v/>
      </c>
      <c r="K178" s="17">
        <f>IF(L178="Sim","Perdido",IF(J178="","",IF(J178&lt;TODAY(),"ATRASADO",IF(J178=TODAY(),"Hoje","Em dia"))))</f>
        <v/>
      </c>
      <c r="L178" s="14" t="n"/>
      <c r="M178" s="14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5">
        <f>IF(G179="","",CHOOSE(G179,"Lead","Atendimento","Visita","Proposta","Venda"))</f>
        <v/>
      </c>
      <c r="I179" s="13" t="n"/>
      <c r="J179" s="16">
        <f>IF(OR(G179="",I179="",L179="Sim"),"",I179+VLOOKUP(G179,$M$3:$N$7,2,FALSE))</f>
        <v/>
      </c>
      <c r="K179" s="17">
        <f>IF(L179="Sim","Perdido",IF(J179="","",IF(J179&lt;TODAY(),"ATRASADO",IF(J179=TODAY(),"Hoje","Em dia"))))</f>
        <v/>
      </c>
      <c r="L179" s="14" t="n"/>
      <c r="M179" s="14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5">
        <f>IF(G180="","",CHOOSE(G180,"Lead","Atendimento","Visita","Proposta","Venda"))</f>
        <v/>
      </c>
      <c r="I180" s="13" t="n"/>
      <c r="J180" s="16">
        <f>IF(OR(G180="",I180="",L180="Sim"),"",I180+VLOOKUP(G180,$M$3:$N$7,2,FALSE))</f>
        <v/>
      </c>
      <c r="K180" s="17">
        <f>IF(L180="Sim","Perdido",IF(J180="","",IF(J180&lt;TODAY(),"ATRASADO",IF(J180=TODAY(),"Hoje","Em dia"))))</f>
        <v/>
      </c>
      <c r="L180" s="14" t="n"/>
      <c r="M180" s="14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5">
        <f>IF(G181="","",CHOOSE(G181,"Lead","Atendimento","Visita","Proposta","Venda"))</f>
        <v/>
      </c>
      <c r="I181" s="13" t="n"/>
      <c r="J181" s="16">
        <f>IF(OR(G181="",I181="",L181="Sim"),"",I181+VLOOKUP(G181,$M$3:$N$7,2,FALSE))</f>
        <v/>
      </c>
      <c r="K181" s="17">
        <f>IF(L181="Sim","Perdido",IF(J181="","",IF(J181&lt;TODAY(),"ATRASADO",IF(J181=TODAY(),"Hoje","Em dia"))))</f>
        <v/>
      </c>
      <c r="L181" s="14" t="n"/>
      <c r="M181" s="14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5">
        <f>IF(G182="","",CHOOSE(G182,"Lead","Atendimento","Visita","Proposta","Venda"))</f>
        <v/>
      </c>
      <c r="I182" s="13" t="n"/>
      <c r="J182" s="16">
        <f>IF(OR(G182="",I182="",L182="Sim"),"",I182+VLOOKUP(G182,$M$3:$N$7,2,FALSE))</f>
        <v/>
      </c>
      <c r="K182" s="17">
        <f>IF(L182="Sim","Perdido",IF(J182="","",IF(J182&lt;TODAY(),"ATRASADO",IF(J182=TODAY(),"Hoje","Em dia"))))</f>
        <v/>
      </c>
      <c r="L182" s="14" t="n"/>
      <c r="M182" s="14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5">
        <f>IF(G183="","",CHOOSE(G183,"Lead","Atendimento","Visita","Proposta","Venda"))</f>
        <v/>
      </c>
      <c r="I183" s="13" t="n"/>
      <c r="J183" s="16">
        <f>IF(OR(G183="",I183="",L183="Sim"),"",I183+VLOOKUP(G183,$M$3:$N$7,2,FALSE))</f>
        <v/>
      </c>
      <c r="K183" s="17">
        <f>IF(L183="Sim","Perdido",IF(J183="","",IF(J183&lt;TODAY(),"ATRASADO",IF(J183=TODAY(),"Hoje","Em dia"))))</f>
        <v/>
      </c>
      <c r="L183" s="14" t="n"/>
      <c r="M183" s="14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5">
        <f>IF(G184="","",CHOOSE(G184,"Lead","Atendimento","Visita","Proposta","Venda"))</f>
        <v/>
      </c>
      <c r="I184" s="13" t="n"/>
      <c r="J184" s="16">
        <f>IF(OR(G184="",I184="",L184="Sim"),"",I184+VLOOKUP(G184,$M$3:$N$7,2,FALSE))</f>
        <v/>
      </c>
      <c r="K184" s="17">
        <f>IF(L184="Sim","Perdido",IF(J184="","",IF(J184&lt;TODAY(),"ATRASADO",IF(J184=TODAY(),"Hoje","Em dia"))))</f>
        <v/>
      </c>
      <c r="L184" s="14" t="n"/>
      <c r="M184" s="14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5">
        <f>IF(G185="","",CHOOSE(G185,"Lead","Atendimento","Visita","Proposta","Venda"))</f>
        <v/>
      </c>
      <c r="I185" s="13" t="n"/>
      <c r="J185" s="16">
        <f>IF(OR(G185="",I185="",L185="Sim"),"",I185+VLOOKUP(G185,$M$3:$N$7,2,FALSE))</f>
        <v/>
      </c>
      <c r="K185" s="17">
        <f>IF(L185="Sim","Perdido",IF(J185="","",IF(J185&lt;TODAY(),"ATRASADO",IF(J185=TODAY(),"Hoje","Em dia"))))</f>
        <v/>
      </c>
      <c r="L185" s="14" t="n"/>
      <c r="M185" s="14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5">
        <f>IF(G186="","",CHOOSE(G186,"Lead","Atendimento","Visita","Proposta","Venda"))</f>
        <v/>
      </c>
      <c r="I186" s="13" t="n"/>
      <c r="J186" s="16">
        <f>IF(OR(G186="",I186="",L186="Sim"),"",I186+VLOOKUP(G186,$M$3:$N$7,2,FALSE))</f>
        <v/>
      </c>
      <c r="K186" s="17">
        <f>IF(L186="Sim","Perdido",IF(J186="","",IF(J186&lt;TODAY(),"ATRASADO",IF(J186=TODAY(),"Hoje","Em dia"))))</f>
        <v/>
      </c>
      <c r="L186" s="14" t="n"/>
      <c r="M186" s="14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5">
        <f>IF(G187="","",CHOOSE(G187,"Lead","Atendimento","Visita","Proposta","Venda"))</f>
        <v/>
      </c>
      <c r="I187" s="13" t="n"/>
      <c r="J187" s="16">
        <f>IF(OR(G187="",I187="",L187="Sim"),"",I187+VLOOKUP(G187,$M$3:$N$7,2,FALSE))</f>
        <v/>
      </c>
      <c r="K187" s="17">
        <f>IF(L187="Sim","Perdido",IF(J187="","",IF(J187&lt;TODAY(),"ATRASADO",IF(J187=TODAY(),"Hoje","Em dia"))))</f>
        <v/>
      </c>
      <c r="L187" s="14" t="n"/>
      <c r="M187" s="14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5">
        <f>IF(G188="","",CHOOSE(G188,"Lead","Atendimento","Visita","Proposta","Venda"))</f>
        <v/>
      </c>
      <c r="I188" s="13" t="n"/>
      <c r="J188" s="16">
        <f>IF(OR(G188="",I188="",L188="Sim"),"",I188+VLOOKUP(G188,$M$3:$N$7,2,FALSE))</f>
        <v/>
      </c>
      <c r="K188" s="17">
        <f>IF(L188="Sim","Perdido",IF(J188="","",IF(J188&lt;TODAY(),"ATRASADO",IF(J188=TODAY(),"Hoje","Em dia"))))</f>
        <v/>
      </c>
      <c r="L188" s="14" t="n"/>
      <c r="M188" s="14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5">
        <f>IF(G189="","",CHOOSE(G189,"Lead","Atendimento","Visita","Proposta","Venda"))</f>
        <v/>
      </c>
      <c r="I189" s="13" t="n"/>
      <c r="J189" s="16">
        <f>IF(OR(G189="",I189="",L189="Sim"),"",I189+VLOOKUP(G189,$M$3:$N$7,2,FALSE))</f>
        <v/>
      </c>
      <c r="K189" s="17">
        <f>IF(L189="Sim","Perdido",IF(J189="","",IF(J189&lt;TODAY(),"ATRASADO",IF(J189=TODAY(),"Hoje","Em dia"))))</f>
        <v/>
      </c>
      <c r="L189" s="14" t="n"/>
      <c r="M189" s="14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5">
        <f>IF(G190="","",CHOOSE(G190,"Lead","Atendimento","Visita","Proposta","Venda"))</f>
        <v/>
      </c>
      <c r="I190" s="13" t="n"/>
      <c r="J190" s="16">
        <f>IF(OR(G190="",I190="",L190="Sim"),"",I190+VLOOKUP(G190,$M$3:$N$7,2,FALSE))</f>
        <v/>
      </c>
      <c r="K190" s="17">
        <f>IF(L190="Sim","Perdido",IF(J190="","",IF(J190&lt;TODAY(),"ATRASADO",IF(J190=TODAY(),"Hoje","Em dia"))))</f>
        <v/>
      </c>
      <c r="L190" s="14" t="n"/>
      <c r="M190" s="14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5">
        <f>IF(G191="","",CHOOSE(G191,"Lead","Atendimento","Visita","Proposta","Venda"))</f>
        <v/>
      </c>
      <c r="I191" s="13" t="n"/>
      <c r="J191" s="16">
        <f>IF(OR(G191="",I191="",L191="Sim"),"",I191+VLOOKUP(G191,$M$3:$N$7,2,FALSE))</f>
        <v/>
      </c>
      <c r="K191" s="17">
        <f>IF(L191="Sim","Perdido",IF(J191="","",IF(J191&lt;TODAY(),"ATRASADO",IF(J191=TODAY(),"Hoje","Em dia"))))</f>
        <v/>
      </c>
      <c r="L191" s="14" t="n"/>
      <c r="M191" s="14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5">
        <f>IF(G192="","",CHOOSE(G192,"Lead","Atendimento","Visita","Proposta","Venda"))</f>
        <v/>
      </c>
      <c r="I192" s="13" t="n"/>
      <c r="J192" s="16">
        <f>IF(OR(G192="",I192="",L192="Sim"),"",I192+VLOOKUP(G192,$M$3:$N$7,2,FALSE))</f>
        <v/>
      </c>
      <c r="K192" s="17">
        <f>IF(L192="Sim","Perdido",IF(J192="","",IF(J192&lt;TODAY(),"ATRASADO",IF(J192=TODAY(),"Hoje","Em dia"))))</f>
        <v/>
      </c>
      <c r="L192" s="14" t="n"/>
      <c r="M192" s="14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5">
        <f>IF(G193="","",CHOOSE(G193,"Lead","Atendimento","Visita","Proposta","Venda"))</f>
        <v/>
      </c>
      <c r="I193" s="13" t="n"/>
      <c r="J193" s="16">
        <f>IF(OR(G193="",I193="",L193="Sim"),"",I193+VLOOKUP(G193,$M$3:$N$7,2,FALSE))</f>
        <v/>
      </c>
      <c r="K193" s="17">
        <f>IF(L193="Sim","Perdido",IF(J193="","",IF(J193&lt;TODAY(),"ATRASADO",IF(J193=TODAY(),"Hoje","Em dia"))))</f>
        <v/>
      </c>
      <c r="L193" s="14" t="n"/>
      <c r="M193" s="14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5">
        <f>IF(G194="","",CHOOSE(G194,"Lead","Atendimento","Visita","Proposta","Venda"))</f>
        <v/>
      </c>
      <c r="I194" s="13" t="n"/>
      <c r="J194" s="16">
        <f>IF(OR(G194="",I194="",L194="Sim"),"",I194+VLOOKUP(G194,$M$3:$N$7,2,FALSE))</f>
        <v/>
      </c>
      <c r="K194" s="17">
        <f>IF(L194="Sim","Perdido",IF(J194="","",IF(J194&lt;TODAY(),"ATRASADO",IF(J194=TODAY(),"Hoje","Em dia"))))</f>
        <v/>
      </c>
      <c r="L194" s="14" t="n"/>
      <c r="M194" s="14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5">
        <f>IF(G195="","",CHOOSE(G195,"Lead","Atendimento","Visita","Proposta","Venda"))</f>
        <v/>
      </c>
      <c r="I195" s="13" t="n"/>
      <c r="J195" s="16">
        <f>IF(OR(G195="",I195="",L195="Sim"),"",I195+VLOOKUP(G195,$M$3:$N$7,2,FALSE))</f>
        <v/>
      </c>
      <c r="K195" s="17">
        <f>IF(L195="Sim","Perdido",IF(J195="","",IF(J195&lt;TODAY(),"ATRASADO",IF(J195=TODAY(),"Hoje","Em dia"))))</f>
        <v/>
      </c>
      <c r="L195" s="14" t="n"/>
      <c r="M195" s="14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5">
        <f>IF(G196="","",CHOOSE(G196,"Lead","Atendimento","Visita","Proposta","Venda"))</f>
        <v/>
      </c>
      <c r="I196" s="13" t="n"/>
      <c r="J196" s="16">
        <f>IF(OR(G196="",I196="",L196="Sim"),"",I196+VLOOKUP(G196,$M$3:$N$7,2,FALSE))</f>
        <v/>
      </c>
      <c r="K196" s="17">
        <f>IF(L196="Sim","Perdido",IF(J196="","",IF(J196&lt;TODAY(),"ATRASADO",IF(J196=TODAY(),"Hoje","Em dia"))))</f>
        <v/>
      </c>
      <c r="L196" s="14" t="n"/>
      <c r="M196" s="14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5">
        <f>IF(G197="","",CHOOSE(G197,"Lead","Atendimento","Visita","Proposta","Venda"))</f>
        <v/>
      </c>
      <c r="I197" s="13" t="n"/>
      <c r="J197" s="16">
        <f>IF(OR(G197="",I197="",L197="Sim"),"",I197+VLOOKUP(G197,$M$3:$N$7,2,FALSE))</f>
        <v/>
      </c>
      <c r="K197" s="17">
        <f>IF(L197="Sim","Perdido",IF(J197="","",IF(J197&lt;TODAY(),"ATRASADO",IF(J197=TODAY(),"Hoje","Em dia"))))</f>
        <v/>
      </c>
      <c r="L197" s="14" t="n"/>
      <c r="M197" s="14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5">
        <f>IF(G198="","",CHOOSE(G198,"Lead","Atendimento","Visita","Proposta","Venda"))</f>
        <v/>
      </c>
      <c r="I198" s="13" t="n"/>
      <c r="J198" s="16">
        <f>IF(OR(G198="",I198="",L198="Sim"),"",I198+VLOOKUP(G198,$M$3:$N$7,2,FALSE))</f>
        <v/>
      </c>
      <c r="K198" s="17">
        <f>IF(L198="Sim","Perdido",IF(J198="","",IF(J198&lt;TODAY(),"ATRASADO",IF(J198=TODAY(),"Hoje","Em dia"))))</f>
        <v/>
      </c>
      <c r="L198" s="14" t="n"/>
      <c r="M198" s="14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5">
        <f>IF(G199="","",CHOOSE(G199,"Lead","Atendimento","Visita","Proposta","Venda"))</f>
        <v/>
      </c>
      <c r="I199" s="13" t="n"/>
      <c r="J199" s="16">
        <f>IF(OR(G199="",I199="",L199="Sim"),"",I199+VLOOKUP(G199,$M$3:$N$7,2,FALSE))</f>
        <v/>
      </c>
      <c r="K199" s="17">
        <f>IF(L199="Sim","Perdido",IF(J199="","",IF(J199&lt;TODAY(),"ATRASADO",IF(J199=TODAY(),"Hoje","Em dia"))))</f>
        <v/>
      </c>
      <c r="L199" s="14" t="n"/>
      <c r="M199" s="14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5">
        <f>IF(G200="","",CHOOSE(G200,"Lead","Atendimento","Visita","Proposta","Venda"))</f>
        <v/>
      </c>
      <c r="I200" s="13" t="n"/>
      <c r="J200" s="16">
        <f>IF(OR(G200="",I200="",L200="Sim"),"",I200+VLOOKUP(G200,$M$3:$N$7,2,FALSE))</f>
        <v/>
      </c>
      <c r="K200" s="17">
        <f>IF(L200="Sim","Perdido",IF(J200="","",IF(J200&lt;TODAY(),"ATRASADO",IF(J200=TODAY(),"Hoje","Em dia"))))</f>
        <v/>
      </c>
      <c r="L200" s="14" t="n"/>
      <c r="M200" s="14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5">
        <f>IF(G201="","",CHOOSE(G201,"Lead","Atendimento","Visita","Proposta","Venda"))</f>
        <v/>
      </c>
      <c r="I201" s="13" t="n"/>
      <c r="J201" s="16">
        <f>IF(OR(G201="",I201="",L201="Sim"),"",I201+VLOOKUP(G201,$M$3:$N$7,2,FALSE))</f>
        <v/>
      </c>
      <c r="K201" s="17">
        <f>IF(L201="Sim","Perdido",IF(J201="","",IF(J201&lt;TODAY(),"ATRASADO",IF(J201=TODAY(),"Hoje","Em dia"))))</f>
        <v/>
      </c>
      <c r="L201" s="14" t="n"/>
      <c r="M201" s="14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5">
        <f>IF(G202="","",CHOOSE(G202,"Lead","Atendimento","Visita","Proposta","Venda"))</f>
        <v/>
      </c>
      <c r="I202" s="13" t="n"/>
      <c r="J202" s="16">
        <f>IF(OR(G202="",I202="",L202="Sim"),"",I202+VLOOKUP(G202,$M$3:$N$7,2,FALSE))</f>
        <v/>
      </c>
      <c r="K202" s="17">
        <f>IF(L202="Sim","Perdido",IF(J202="","",IF(J202&lt;TODAY(),"ATRASADO",IF(J202=TODAY(),"Hoje","Em dia"))))</f>
        <v/>
      </c>
      <c r="L202" s="14" t="n"/>
      <c r="M202" s="14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5">
        <f>IF(G203="","",CHOOSE(G203,"Lead","Atendimento","Visita","Proposta","Venda"))</f>
        <v/>
      </c>
      <c r="I203" s="13" t="n"/>
      <c r="J203" s="16">
        <f>IF(OR(G203="",I203="",L203="Sim"),"",I203+VLOOKUP(G203,$M$3:$N$7,2,FALSE))</f>
        <v/>
      </c>
      <c r="K203" s="17">
        <f>IF(L203="Sim","Perdido",IF(J203="","",IF(J203&lt;TODAY(),"ATRASADO",IF(J203=TODAY(),"Hoje","Em dia"))))</f>
        <v/>
      </c>
      <c r="L203" s="14" t="n"/>
      <c r="M203" s="14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5">
        <f>IF(G204="","",CHOOSE(G204,"Lead","Atendimento","Visita","Proposta","Venda"))</f>
        <v/>
      </c>
      <c r="I204" s="13" t="n"/>
      <c r="J204" s="16">
        <f>IF(OR(G204="",I204="",L204="Sim"),"",I204+VLOOKUP(G204,$M$3:$N$7,2,FALSE))</f>
        <v/>
      </c>
      <c r="K204" s="17">
        <f>IF(L204="Sim","Perdido",IF(J204="","",IF(J204&lt;TODAY(),"ATRASADO",IF(J204=TODAY(),"Hoje","Em dia"))))</f>
        <v/>
      </c>
      <c r="L204" s="14" t="n"/>
      <c r="M204" s="14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5">
        <f>IF(G205="","",CHOOSE(G205,"Lead","Atendimento","Visita","Proposta","Venda"))</f>
        <v/>
      </c>
      <c r="I205" s="13" t="n"/>
      <c r="J205" s="16">
        <f>IF(OR(G205="",I205="",L205="Sim"),"",I205+VLOOKUP(G205,$M$3:$N$7,2,FALSE))</f>
        <v/>
      </c>
      <c r="K205" s="17">
        <f>IF(L205="Sim","Perdido",IF(J205="","",IF(J205&lt;TODAY(),"ATRASADO",IF(J205=TODAY(),"Hoje","Em dia"))))</f>
        <v/>
      </c>
      <c r="L205" s="14" t="n"/>
      <c r="M205" s="14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5">
        <f>IF(G206="","",CHOOSE(G206,"Lead","Atendimento","Visita","Proposta","Venda"))</f>
        <v/>
      </c>
      <c r="I206" s="13" t="n"/>
      <c r="J206" s="16">
        <f>IF(OR(G206="",I206="",L206="Sim"),"",I206+VLOOKUP(G206,$M$3:$N$7,2,FALSE))</f>
        <v/>
      </c>
      <c r="K206" s="17">
        <f>IF(L206="Sim","Perdido",IF(J206="","",IF(J206&lt;TODAY(),"ATRASADO",IF(J206=TODAY(),"Hoje","Em dia"))))</f>
        <v/>
      </c>
      <c r="L206" s="14" t="n"/>
      <c r="M206" s="14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5">
        <f>IF(G207="","",CHOOSE(G207,"Lead","Atendimento","Visita","Proposta","Venda"))</f>
        <v/>
      </c>
      <c r="I207" s="13" t="n"/>
      <c r="J207" s="16">
        <f>IF(OR(G207="",I207="",L207="Sim"),"",I207+VLOOKUP(G207,$M$3:$N$7,2,FALSE))</f>
        <v/>
      </c>
      <c r="K207" s="17">
        <f>IF(L207="Sim","Perdido",IF(J207="","",IF(J207&lt;TODAY(),"ATRASADO",IF(J207=TODAY(),"Hoje","Em dia"))))</f>
        <v/>
      </c>
      <c r="L207" s="14" t="n"/>
      <c r="M207" s="14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5">
        <f>IF(G208="","",CHOOSE(G208,"Lead","Atendimento","Visita","Proposta","Venda"))</f>
        <v/>
      </c>
      <c r="I208" s="13" t="n"/>
      <c r="J208" s="16">
        <f>IF(OR(G208="",I208="",L208="Sim"),"",I208+VLOOKUP(G208,$M$3:$N$7,2,FALSE))</f>
        <v/>
      </c>
      <c r="K208" s="17">
        <f>IF(L208="Sim","Perdido",IF(J208="","",IF(J208&lt;TODAY(),"ATRASADO",IF(J208=TODAY(),"Hoje","Em dia"))))</f>
        <v/>
      </c>
      <c r="L208" s="14" t="n"/>
      <c r="M208" s="14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5">
        <f>IF(G209="","",CHOOSE(G209,"Lead","Atendimento","Visita","Proposta","Venda"))</f>
        <v/>
      </c>
      <c r="I209" s="13" t="n"/>
      <c r="J209" s="16">
        <f>IF(OR(G209="",I209="",L209="Sim"),"",I209+VLOOKUP(G209,$M$3:$N$7,2,FALSE))</f>
        <v/>
      </c>
      <c r="K209" s="17">
        <f>IF(L209="Sim","Perdido",IF(J209="","",IF(J209&lt;TODAY(),"ATRASADO",IF(J209=TODAY(),"Hoje","Em dia"))))</f>
        <v/>
      </c>
      <c r="L209" s="14" t="n"/>
      <c r="M209" s="14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5">
        <f>IF(G210="","",CHOOSE(G210,"Lead","Atendimento","Visita","Proposta","Venda"))</f>
        <v/>
      </c>
      <c r="I210" s="13" t="n"/>
      <c r="J210" s="16">
        <f>IF(OR(G210="",I210="",L210="Sim"),"",I210+VLOOKUP(G210,$M$3:$N$7,2,FALSE))</f>
        <v/>
      </c>
      <c r="K210" s="17">
        <f>IF(L210="Sim","Perdido",IF(J210="","",IF(J210&lt;TODAY(),"ATRASADO",IF(J210=TODAY(),"Hoje","Em dia"))))</f>
        <v/>
      </c>
      <c r="L210" s="14" t="n"/>
      <c r="M210" s="14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5">
        <f>IF(G211="","",CHOOSE(G211,"Lead","Atendimento","Visita","Proposta","Venda"))</f>
        <v/>
      </c>
      <c r="I211" s="13" t="n"/>
      <c r="J211" s="16">
        <f>IF(OR(G211="",I211="",L211="Sim"),"",I211+VLOOKUP(G211,$M$3:$N$7,2,FALSE))</f>
        <v/>
      </c>
      <c r="K211" s="17">
        <f>IF(L211="Sim","Perdido",IF(J211="","",IF(J211&lt;TODAY(),"ATRASADO",IF(J211=TODAY(),"Hoje","Em dia"))))</f>
        <v/>
      </c>
      <c r="L211" s="14" t="n"/>
      <c r="M211" s="14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5">
        <f>IF(G212="","",CHOOSE(G212,"Lead","Atendimento","Visita","Proposta","Venda"))</f>
        <v/>
      </c>
      <c r="I212" s="13" t="n"/>
      <c r="J212" s="16">
        <f>IF(OR(G212="",I212="",L212="Sim"),"",I212+VLOOKUP(G212,$M$3:$N$7,2,FALSE))</f>
        <v/>
      </c>
      <c r="K212" s="17">
        <f>IF(L212="Sim","Perdido",IF(J212="","",IF(J212&lt;TODAY(),"ATRASADO",IF(J212=TODAY(),"Hoje","Em dia"))))</f>
        <v/>
      </c>
      <c r="L212" s="14" t="n"/>
      <c r="M212" s="14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5">
        <f>IF(G213="","",CHOOSE(G213,"Lead","Atendimento","Visita","Proposta","Venda"))</f>
        <v/>
      </c>
      <c r="I213" s="13" t="n"/>
      <c r="J213" s="16">
        <f>IF(OR(G213="",I213="",L213="Sim"),"",I213+VLOOKUP(G213,$M$3:$N$7,2,FALSE))</f>
        <v/>
      </c>
      <c r="K213" s="17">
        <f>IF(L213="Sim","Perdido",IF(J213="","",IF(J213&lt;TODAY(),"ATRASADO",IF(J213=TODAY(),"Hoje","Em dia"))))</f>
        <v/>
      </c>
      <c r="L213" s="14" t="n"/>
      <c r="M213" s="14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5">
        <f>IF(G214="","",CHOOSE(G214,"Lead","Atendimento","Visita","Proposta","Venda"))</f>
        <v/>
      </c>
      <c r="I214" s="13" t="n"/>
      <c r="J214" s="16">
        <f>IF(OR(G214="",I214="",L214="Sim"),"",I214+VLOOKUP(G214,$M$3:$N$7,2,FALSE))</f>
        <v/>
      </c>
      <c r="K214" s="17">
        <f>IF(L214="Sim","Perdido",IF(J214="","",IF(J214&lt;TODAY(),"ATRASADO",IF(J214=TODAY(),"Hoje","Em dia"))))</f>
        <v/>
      </c>
      <c r="L214" s="14" t="n"/>
      <c r="M214" s="14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5">
        <f>IF(G215="","",CHOOSE(G215,"Lead","Atendimento","Visita","Proposta","Venda"))</f>
        <v/>
      </c>
      <c r="I215" s="13" t="n"/>
      <c r="J215" s="16">
        <f>IF(OR(G215="",I215="",L215="Sim"),"",I215+VLOOKUP(G215,$M$3:$N$7,2,FALSE))</f>
        <v/>
      </c>
      <c r="K215" s="17">
        <f>IF(L215="Sim","Perdido",IF(J215="","",IF(J215&lt;TODAY(),"ATRASADO",IF(J215=TODAY(),"Hoje","Em dia"))))</f>
        <v/>
      </c>
      <c r="L215" s="14" t="n"/>
      <c r="M215" s="14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5">
        <f>IF(G216="","",CHOOSE(G216,"Lead","Atendimento","Visita","Proposta","Venda"))</f>
        <v/>
      </c>
      <c r="I216" s="13" t="n"/>
      <c r="J216" s="16">
        <f>IF(OR(G216="",I216="",L216="Sim"),"",I216+VLOOKUP(G216,$M$3:$N$7,2,FALSE))</f>
        <v/>
      </c>
      <c r="K216" s="17">
        <f>IF(L216="Sim","Perdido",IF(J216="","",IF(J216&lt;TODAY(),"ATRASADO",IF(J216=TODAY(),"Hoje","Em dia"))))</f>
        <v/>
      </c>
      <c r="L216" s="14" t="n"/>
      <c r="M216" s="14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5">
        <f>IF(G217="","",CHOOSE(G217,"Lead","Atendimento","Visita","Proposta","Venda"))</f>
        <v/>
      </c>
      <c r="I217" s="13" t="n"/>
      <c r="J217" s="16">
        <f>IF(OR(G217="",I217="",L217="Sim"),"",I217+VLOOKUP(G217,$M$3:$N$7,2,FALSE))</f>
        <v/>
      </c>
      <c r="K217" s="17">
        <f>IF(L217="Sim","Perdido",IF(J217="","",IF(J217&lt;TODAY(),"ATRASADO",IF(J217=TODAY(),"Hoje","Em dia"))))</f>
        <v/>
      </c>
      <c r="L217" s="14" t="n"/>
      <c r="M217" s="14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5">
        <f>IF(G218="","",CHOOSE(G218,"Lead","Atendimento","Visita","Proposta","Venda"))</f>
        <v/>
      </c>
      <c r="I218" s="13" t="n"/>
      <c r="J218" s="16">
        <f>IF(OR(G218="",I218="",L218="Sim"),"",I218+VLOOKUP(G218,$M$3:$N$7,2,FALSE))</f>
        <v/>
      </c>
      <c r="K218" s="17">
        <f>IF(L218="Sim","Perdido",IF(J218="","",IF(J218&lt;TODAY(),"ATRASADO",IF(J218=TODAY(),"Hoje","Em dia"))))</f>
        <v/>
      </c>
      <c r="L218" s="14" t="n"/>
      <c r="M218" s="14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5">
        <f>IF(G219="","",CHOOSE(G219,"Lead","Atendimento","Visita","Proposta","Venda"))</f>
        <v/>
      </c>
      <c r="I219" s="13" t="n"/>
      <c r="J219" s="16">
        <f>IF(OR(G219="",I219="",L219="Sim"),"",I219+VLOOKUP(G219,$M$3:$N$7,2,FALSE))</f>
        <v/>
      </c>
      <c r="K219" s="17">
        <f>IF(L219="Sim","Perdido",IF(J219="","",IF(J219&lt;TODAY(),"ATRASADO",IF(J219=TODAY(),"Hoje","Em dia"))))</f>
        <v/>
      </c>
      <c r="L219" s="14" t="n"/>
      <c r="M219" s="14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5">
        <f>IF(G220="","",CHOOSE(G220,"Lead","Atendimento","Visita","Proposta","Venda"))</f>
        <v/>
      </c>
      <c r="I220" s="13" t="n"/>
      <c r="J220" s="16">
        <f>IF(OR(G220="",I220="",L220="Sim"),"",I220+VLOOKUP(G220,$M$3:$N$7,2,FALSE))</f>
        <v/>
      </c>
      <c r="K220" s="17">
        <f>IF(L220="Sim","Perdido",IF(J220="","",IF(J220&lt;TODAY(),"ATRASADO",IF(J220=TODAY(),"Hoje","Em dia"))))</f>
        <v/>
      </c>
      <c r="L220" s="14" t="n"/>
      <c r="M220" s="14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5">
        <f>IF(G221="","",CHOOSE(G221,"Lead","Atendimento","Visita","Proposta","Venda"))</f>
        <v/>
      </c>
      <c r="I221" s="13" t="n"/>
      <c r="J221" s="16">
        <f>IF(OR(G221="",I221="",L221="Sim"),"",I221+VLOOKUP(G221,$M$3:$N$7,2,FALSE))</f>
        <v/>
      </c>
      <c r="K221" s="17">
        <f>IF(L221="Sim","Perdido",IF(J221="","",IF(J221&lt;TODAY(),"ATRASADO",IF(J221=TODAY(),"Hoje","Em dia"))))</f>
        <v/>
      </c>
      <c r="L221" s="14" t="n"/>
      <c r="M221" s="14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5">
        <f>IF(G222="","",CHOOSE(G222,"Lead","Atendimento","Visita","Proposta","Venda"))</f>
        <v/>
      </c>
      <c r="I222" s="13" t="n"/>
      <c r="J222" s="16">
        <f>IF(OR(G222="",I222="",L222="Sim"),"",I222+VLOOKUP(G222,$M$3:$N$7,2,FALSE))</f>
        <v/>
      </c>
      <c r="K222" s="17">
        <f>IF(L222="Sim","Perdido",IF(J222="","",IF(J222&lt;TODAY(),"ATRASADO",IF(J222=TODAY(),"Hoje","Em dia"))))</f>
        <v/>
      </c>
      <c r="L222" s="14" t="n"/>
      <c r="M222" s="14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5">
        <f>IF(G223="","",CHOOSE(G223,"Lead","Atendimento","Visita","Proposta","Venda"))</f>
        <v/>
      </c>
      <c r="I223" s="13" t="n"/>
      <c r="J223" s="16">
        <f>IF(OR(G223="",I223="",L223="Sim"),"",I223+VLOOKUP(G223,$M$3:$N$7,2,FALSE))</f>
        <v/>
      </c>
      <c r="K223" s="17">
        <f>IF(L223="Sim","Perdido",IF(J223="","",IF(J223&lt;TODAY(),"ATRASADO",IF(J223=TODAY(),"Hoje","Em dia"))))</f>
        <v/>
      </c>
      <c r="L223" s="14" t="n"/>
      <c r="M223" s="14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5">
        <f>IF(G224="","",CHOOSE(G224,"Lead","Atendimento","Visita","Proposta","Venda"))</f>
        <v/>
      </c>
      <c r="I224" s="13" t="n"/>
      <c r="J224" s="16">
        <f>IF(OR(G224="",I224="",L224="Sim"),"",I224+VLOOKUP(G224,$M$3:$N$7,2,FALSE))</f>
        <v/>
      </c>
      <c r="K224" s="17">
        <f>IF(L224="Sim","Perdido",IF(J224="","",IF(J224&lt;TODAY(),"ATRASADO",IF(J224=TODAY(),"Hoje","Em dia"))))</f>
        <v/>
      </c>
      <c r="L224" s="14" t="n"/>
      <c r="M224" s="14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5">
        <f>IF(G225="","",CHOOSE(G225,"Lead","Atendimento","Visita","Proposta","Venda"))</f>
        <v/>
      </c>
      <c r="I225" s="13" t="n"/>
      <c r="J225" s="16">
        <f>IF(OR(G225="",I225="",L225="Sim"),"",I225+VLOOKUP(G225,$M$3:$N$7,2,FALSE))</f>
        <v/>
      </c>
      <c r="K225" s="17">
        <f>IF(L225="Sim","Perdido",IF(J225="","",IF(J225&lt;TODAY(),"ATRASADO",IF(J225=TODAY(),"Hoje","Em dia"))))</f>
        <v/>
      </c>
      <c r="L225" s="14" t="n"/>
      <c r="M225" s="14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5">
        <f>IF(G226="","",CHOOSE(G226,"Lead","Atendimento","Visita","Proposta","Venda"))</f>
        <v/>
      </c>
      <c r="I226" s="13" t="n"/>
      <c r="J226" s="16">
        <f>IF(OR(G226="",I226="",L226="Sim"),"",I226+VLOOKUP(G226,$M$3:$N$7,2,FALSE))</f>
        <v/>
      </c>
      <c r="K226" s="17">
        <f>IF(L226="Sim","Perdido",IF(J226="","",IF(J226&lt;TODAY(),"ATRASADO",IF(J226=TODAY(),"Hoje","Em dia"))))</f>
        <v/>
      </c>
      <c r="L226" s="14" t="n"/>
      <c r="M226" s="14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5">
        <f>IF(G227="","",CHOOSE(G227,"Lead","Atendimento","Visita","Proposta","Venda"))</f>
        <v/>
      </c>
      <c r="I227" s="13" t="n"/>
      <c r="J227" s="16">
        <f>IF(OR(G227="",I227="",L227="Sim"),"",I227+VLOOKUP(G227,$M$3:$N$7,2,FALSE))</f>
        <v/>
      </c>
      <c r="K227" s="17">
        <f>IF(L227="Sim","Perdido",IF(J227="","",IF(J227&lt;TODAY(),"ATRASADO",IF(J227=TODAY(),"Hoje","Em dia"))))</f>
        <v/>
      </c>
      <c r="L227" s="14" t="n"/>
      <c r="M227" s="14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5">
        <f>IF(G228="","",CHOOSE(G228,"Lead","Atendimento","Visita","Proposta","Venda"))</f>
        <v/>
      </c>
      <c r="I228" s="13" t="n"/>
      <c r="J228" s="16">
        <f>IF(OR(G228="",I228="",L228="Sim"),"",I228+VLOOKUP(G228,$M$3:$N$7,2,FALSE))</f>
        <v/>
      </c>
      <c r="K228" s="17">
        <f>IF(L228="Sim","Perdido",IF(J228="","",IF(J228&lt;TODAY(),"ATRASADO",IF(J228=TODAY(),"Hoje","Em dia"))))</f>
        <v/>
      </c>
      <c r="L228" s="14" t="n"/>
      <c r="M228" s="14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5">
        <f>IF(G229="","",CHOOSE(G229,"Lead","Atendimento","Visita","Proposta","Venda"))</f>
        <v/>
      </c>
      <c r="I229" s="13" t="n"/>
      <c r="J229" s="16">
        <f>IF(OR(G229="",I229="",L229="Sim"),"",I229+VLOOKUP(G229,$M$3:$N$7,2,FALSE))</f>
        <v/>
      </c>
      <c r="K229" s="17">
        <f>IF(L229="Sim","Perdido",IF(J229="","",IF(J229&lt;TODAY(),"ATRASADO",IF(J229=TODAY(),"Hoje","Em dia"))))</f>
        <v/>
      </c>
      <c r="L229" s="14" t="n"/>
      <c r="M229" s="14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5">
        <f>IF(G230="","",CHOOSE(G230,"Lead","Atendimento","Visita","Proposta","Venda"))</f>
        <v/>
      </c>
      <c r="I230" s="13" t="n"/>
      <c r="J230" s="16">
        <f>IF(OR(G230="",I230="",L230="Sim"),"",I230+VLOOKUP(G230,$M$3:$N$7,2,FALSE))</f>
        <v/>
      </c>
      <c r="K230" s="17">
        <f>IF(L230="Sim","Perdido",IF(J230="","",IF(J230&lt;TODAY(),"ATRASADO",IF(J230=TODAY(),"Hoje","Em dia"))))</f>
        <v/>
      </c>
      <c r="L230" s="14" t="n"/>
      <c r="M230" s="14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5">
        <f>IF(G231="","",CHOOSE(G231,"Lead","Atendimento","Visita","Proposta","Venda"))</f>
        <v/>
      </c>
      <c r="I231" s="13" t="n"/>
      <c r="J231" s="16">
        <f>IF(OR(G231="",I231="",L231="Sim"),"",I231+VLOOKUP(G231,$M$3:$N$7,2,FALSE))</f>
        <v/>
      </c>
      <c r="K231" s="17">
        <f>IF(L231="Sim","Perdido",IF(J231="","",IF(J231&lt;TODAY(),"ATRASADO",IF(J231=TODAY(),"Hoje","Em dia"))))</f>
        <v/>
      </c>
      <c r="L231" s="14" t="n"/>
      <c r="M231" s="14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5">
        <f>IF(G232="","",CHOOSE(G232,"Lead","Atendimento","Visita","Proposta","Venda"))</f>
        <v/>
      </c>
      <c r="I232" s="13" t="n"/>
      <c r="J232" s="16">
        <f>IF(OR(G232="",I232="",L232="Sim"),"",I232+VLOOKUP(G232,$M$3:$N$7,2,FALSE))</f>
        <v/>
      </c>
      <c r="K232" s="17">
        <f>IF(L232="Sim","Perdido",IF(J232="","",IF(J232&lt;TODAY(),"ATRASADO",IF(J232=TODAY(),"Hoje","Em dia"))))</f>
        <v/>
      </c>
      <c r="L232" s="14" t="n"/>
      <c r="M232" s="14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5">
        <f>IF(G233="","",CHOOSE(G233,"Lead","Atendimento","Visita","Proposta","Venda"))</f>
        <v/>
      </c>
      <c r="I233" s="13" t="n"/>
      <c r="J233" s="16">
        <f>IF(OR(G233="",I233="",L233="Sim"),"",I233+VLOOKUP(G233,$M$3:$N$7,2,FALSE))</f>
        <v/>
      </c>
      <c r="K233" s="17">
        <f>IF(L233="Sim","Perdido",IF(J233="","",IF(J233&lt;TODAY(),"ATRASADO",IF(J233=TODAY(),"Hoje","Em dia"))))</f>
        <v/>
      </c>
      <c r="L233" s="14" t="n"/>
      <c r="M233" s="14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5">
        <f>IF(G234="","",CHOOSE(G234,"Lead","Atendimento","Visita","Proposta","Venda"))</f>
        <v/>
      </c>
      <c r="I234" s="13" t="n"/>
      <c r="J234" s="16">
        <f>IF(OR(G234="",I234="",L234="Sim"),"",I234+VLOOKUP(G234,$M$3:$N$7,2,FALSE))</f>
        <v/>
      </c>
      <c r="K234" s="17">
        <f>IF(L234="Sim","Perdido",IF(J234="","",IF(J234&lt;TODAY(),"ATRASADO",IF(J234=TODAY(),"Hoje","Em dia"))))</f>
        <v/>
      </c>
      <c r="L234" s="14" t="n"/>
      <c r="M234" s="14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5">
        <f>IF(G235="","",CHOOSE(G235,"Lead","Atendimento","Visita","Proposta","Venda"))</f>
        <v/>
      </c>
      <c r="I235" s="13" t="n"/>
      <c r="J235" s="16">
        <f>IF(OR(G235="",I235="",L235="Sim"),"",I235+VLOOKUP(G235,$M$3:$N$7,2,FALSE))</f>
        <v/>
      </c>
      <c r="K235" s="17">
        <f>IF(L235="Sim","Perdido",IF(J235="","",IF(J235&lt;TODAY(),"ATRASADO",IF(J235=TODAY(),"Hoje","Em dia"))))</f>
        <v/>
      </c>
      <c r="L235" s="14" t="n"/>
      <c r="M235" s="14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5">
        <f>IF(G236="","",CHOOSE(G236,"Lead","Atendimento","Visita","Proposta","Venda"))</f>
        <v/>
      </c>
      <c r="I236" s="13" t="n"/>
      <c r="J236" s="16">
        <f>IF(OR(G236="",I236="",L236="Sim"),"",I236+VLOOKUP(G236,$M$3:$N$7,2,FALSE))</f>
        <v/>
      </c>
      <c r="K236" s="17">
        <f>IF(L236="Sim","Perdido",IF(J236="","",IF(J236&lt;TODAY(),"ATRASADO",IF(J236=TODAY(),"Hoje","Em dia"))))</f>
        <v/>
      </c>
      <c r="L236" s="14" t="n"/>
      <c r="M236" s="14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5">
        <f>IF(G237="","",CHOOSE(G237,"Lead","Atendimento","Visita","Proposta","Venda"))</f>
        <v/>
      </c>
      <c r="I237" s="13" t="n"/>
      <c r="J237" s="16">
        <f>IF(OR(G237="",I237="",L237="Sim"),"",I237+VLOOKUP(G237,$M$3:$N$7,2,FALSE))</f>
        <v/>
      </c>
      <c r="K237" s="17">
        <f>IF(L237="Sim","Perdido",IF(J237="","",IF(J237&lt;TODAY(),"ATRASADO",IF(J237=TODAY(),"Hoje","Em dia"))))</f>
        <v/>
      </c>
      <c r="L237" s="14" t="n"/>
      <c r="M237" s="14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5">
        <f>IF(G238="","",CHOOSE(G238,"Lead","Atendimento","Visita","Proposta","Venda"))</f>
        <v/>
      </c>
      <c r="I238" s="13" t="n"/>
      <c r="J238" s="16">
        <f>IF(OR(G238="",I238="",L238="Sim"),"",I238+VLOOKUP(G238,$M$3:$N$7,2,FALSE))</f>
        <v/>
      </c>
      <c r="K238" s="17">
        <f>IF(L238="Sim","Perdido",IF(J238="","",IF(J238&lt;TODAY(),"ATRASADO",IF(J238=TODAY(),"Hoje","Em dia"))))</f>
        <v/>
      </c>
      <c r="L238" s="14" t="n"/>
      <c r="M238" s="14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5">
        <f>IF(G239="","",CHOOSE(G239,"Lead","Atendimento","Visita","Proposta","Venda"))</f>
        <v/>
      </c>
      <c r="I239" s="13" t="n"/>
      <c r="J239" s="16">
        <f>IF(OR(G239="",I239="",L239="Sim"),"",I239+VLOOKUP(G239,$M$3:$N$7,2,FALSE))</f>
        <v/>
      </c>
      <c r="K239" s="17">
        <f>IF(L239="Sim","Perdido",IF(J239="","",IF(J239&lt;TODAY(),"ATRASADO",IF(J239=TODAY(),"Hoje","Em dia"))))</f>
        <v/>
      </c>
      <c r="L239" s="14" t="n"/>
      <c r="M239" s="14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5">
        <f>IF(G240="","",CHOOSE(G240,"Lead","Atendimento","Visita","Proposta","Venda"))</f>
        <v/>
      </c>
      <c r="I240" s="13" t="n"/>
      <c r="J240" s="16">
        <f>IF(OR(G240="",I240="",L240="Sim"),"",I240+VLOOKUP(G240,$M$3:$N$7,2,FALSE))</f>
        <v/>
      </c>
      <c r="K240" s="17">
        <f>IF(L240="Sim","Perdido",IF(J240="","",IF(J240&lt;TODAY(),"ATRASADO",IF(J240=TODAY(),"Hoje","Em dia"))))</f>
        <v/>
      </c>
      <c r="L240" s="14" t="n"/>
      <c r="M240" s="14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5">
        <f>IF(G241="","",CHOOSE(G241,"Lead","Atendimento","Visita","Proposta","Venda"))</f>
        <v/>
      </c>
      <c r="I241" s="13" t="n"/>
      <c r="J241" s="16">
        <f>IF(OR(G241="",I241="",L241="Sim"),"",I241+VLOOKUP(G241,$M$3:$N$7,2,FALSE))</f>
        <v/>
      </c>
      <c r="K241" s="17">
        <f>IF(L241="Sim","Perdido",IF(J241="","",IF(J241&lt;TODAY(),"ATRASADO",IF(J241=TODAY(),"Hoje","Em dia"))))</f>
        <v/>
      </c>
      <c r="L241" s="14" t="n"/>
      <c r="M241" s="14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5">
        <f>IF(G242="","",CHOOSE(G242,"Lead","Atendimento","Visita","Proposta","Venda"))</f>
        <v/>
      </c>
      <c r="I242" s="13" t="n"/>
      <c r="J242" s="16">
        <f>IF(OR(G242="",I242="",L242="Sim"),"",I242+VLOOKUP(G242,$M$3:$N$7,2,FALSE))</f>
        <v/>
      </c>
      <c r="K242" s="17">
        <f>IF(L242="Sim","Perdido",IF(J242="","",IF(J242&lt;TODAY(),"ATRASADO",IF(J242=TODAY(),"Hoje","Em dia"))))</f>
        <v/>
      </c>
      <c r="L242" s="14" t="n"/>
      <c r="M242" s="14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5">
        <f>IF(G243="","",CHOOSE(G243,"Lead","Atendimento","Visita","Proposta","Venda"))</f>
        <v/>
      </c>
      <c r="I243" s="13" t="n"/>
      <c r="J243" s="16">
        <f>IF(OR(G243="",I243="",L243="Sim"),"",I243+VLOOKUP(G243,$M$3:$N$7,2,FALSE))</f>
        <v/>
      </c>
      <c r="K243" s="17">
        <f>IF(L243="Sim","Perdido",IF(J243="","",IF(J243&lt;TODAY(),"ATRASADO",IF(J243=TODAY(),"Hoje","Em dia"))))</f>
        <v/>
      </c>
      <c r="L243" s="14" t="n"/>
      <c r="M243" s="14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5">
        <f>IF(G244="","",CHOOSE(G244,"Lead","Atendimento","Visita","Proposta","Venda"))</f>
        <v/>
      </c>
      <c r="I244" s="13" t="n"/>
      <c r="J244" s="16">
        <f>IF(OR(G244="",I244="",L244="Sim"),"",I244+VLOOKUP(G244,$M$3:$N$7,2,FALSE))</f>
        <v/>
      </c>
      <c r="K244" s="17">
        <f>IF(L244="Sim","Perdido",IF(J244="","",IF(J244&lt;TODAY(),"ATRASADO",IF(J244=TODAY(),"Hoje","Em dia"))))</f>
        <v/>
      </c>
      <c r="L244" s="14" t="n"/>
      <c r="M244" s="14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5">
        <f>IF(G245="","",CHOOSE(G245,"Lead","Atendimento","Visita","Proposta","Venda"))</f>
        <v/>
      </c>
      <c r="I245" s="13" t="n"/>
      <c r="J245" s="16">
        <f>IF(OR(G245="",I245="",L245="Sim"),"",I245+VLOOKUP(G245,$M$3:$N$7,2,FALSE))</f>
        <v/>
      </c>
      <c r="K245" s="17">
        <f>IF(L245="Sim","Perdido",IF(J245="","",IF(J245&lt;TODAY(),"ATRASADO",IF(J245=TODAY(),"Hoje","Em dia"))))</f>
        <v/>
      </c>
      <c r="L245" s="14" t="n"/>
      <c r="M245" s="14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5">
        <f>IF(G246="","",CHOOSE(G246,"Lead","Atendimento","Visita","Proposta","Venda"))</f>
        <v/>
      </c>
      <c r="I246" s="13" t="n"/>
      <c r="J246" s="16">
        <f>IF(OR(G246="",I246="",L246="Sim"),"",I246+VLOOKUP(G246,$M$3:$N$7,2,FALSE))</f>
        <v/>
      </c>
      <c r="K246" s="17">
        <f>IF(L246="Sim","Perdido",IF(J246="","",IF(J246&lt;TODAY(),"ATRASADO",IF(J246=TODAY(),"Hoje","Em dia"))))</f>
        <v/>
      </c>
      <c r="L246" s="14" t="n"/>
      <c r="M246" s="14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5">
        <f>IF(G247="","",CHOOSE(G247,"Lead","Atendimento","Visita","Proposta","Venda"))</f>
        <v/>
      </c>
      <c r="I247" s="13" t="n"/>
      <c r="J247" s="16">
        <f>IF(OR(G247="",I247="",L247="Sim"),"",I247+VLOOKUP(G247,$M$3:$N$7,2,FALSE))</f>
        <v/>
      </c>
      <c r="K247" s="17">
        <f>IF(L247="Sim","Perdido",IF(J247="","",IF(J247&lt;TODAY(),"ATRASADO",IF(J247=TODAY(),"Hoje","Em dia"))))</f>
        <v/>
      </c>
      <c r="L247" s="14" t="n"/>
      <c r="M247" s="14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5">
        <f>IF(G248="","",CHOOSE(G248,"Lead","Atendimento","Visita","Proposta","Venda"))</f>
        <v/>
      </c>
      <c r="I248" s="13" t="n"/>
      <c r="J248" s="16">
        <f>IF(OR(G248="",I248="",L248="Sim"),"",I248+VLOOKUP(G248,$M$3:$N$7,2,FALSE))</f>
        <v/>
      </c>
      <c r="K248" s="17">
        <f>IF(L248="Sim","Perdido",IF(J248="","",IF(J248&lt;TODAY(),"ATRASADO",IF(J248=TODAY(),"Hoje","Em dia"))))</f>
        <v/>
      </c>
      <c r="L248" s="14" t="n"/>
      <c r="M248" s="14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5">
        <f>IF(G249="","",CHOOSE(G249,"Lead","Atendimento","Visita","Proposta","Venda"))</f>
        <v/>
      </c>
      <c r="I249" s="13" t="n"/>
      <c r="J249" s="16">
        <f>IF(OR(G249="",I249="",L249="Sim"),"",I249+VLOOKUP(G249,$M$3:$N$7,2,FALSE))</f>
        <v/>
      </c>
      <c r="K249" s="17">
        <f>IF(L249="Sim","Perdido",IF(J249="","",IF(J249&lt;TODAY(),"ATRASADO",IF(J249=TODAY(),"Hoje","Em dia"))))</f>
        <v/>
      </c>
      <c r="L249" s="14" t="n"/>
      <c r="M249" s="14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5">
        <f>IF(G250="","",CHOOSE(G250,"Lead","Atendimento","Visita","Proposta","Venda"))</f>
        <v/>
      </c>
      <c r="I250" s="13" t="n"/>
      <c r="J250" s="16">
        <f>IF(OR(G250="",I250="",L250="Sim"),"",I250+VLOOKUP(G250,$M$3:$N$7,2,FALSE))</f>
        <v/>
      </c>
      <c r="K250" s="17">
        <f>IF(L250="Sim","Perdido",IF(J250="","",IF(J250&lt;TODAY(),"ATRASADO",IF(J250=TODAY(),"Hoje","Em dia"))))</f>
        <v/>
      </c>
      <c r="L250" s="14" t="n"/>
      <c r="M250" s="14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5">
        <f>IF(G251="","",CHOOSE(G251,"Lead","Atendimento","Visita","Proposta","Venda"))</f>
        <v/>
      </c>
      <c r="I251" s="13" t="n"/>
      <c r="J251" s="16">
        <f>IF(OR(G251="",I251="",L251="Sim"),"",I251+VLOOKUP(G251,$M$3:$N$7,2,FALSE))</f>
        <v/>
      </c>
      <c r="K251" s="17">
        <f>IF(L251="Sim","Perdido",IF(J251="","",IF(J251&lt;TODAY(),"ATRASADO",IF(J251=TODAY(),"Hoje","Em dia"))))</f>
        <v/>
      </c>
      <c r="L251" s="14" t="n"/>
      <c r="M251" s="14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5">
        <f>IF(G252="","",CHOOSE(G252,"Lead","Atendimento","Visita","Proposta","Venda"))</f>
        <v/>
      </c>
      <c r="I252" s="13" t="n"/>
      <c r="J252" s="16">
        <f>IF(OR(G252="",I252="",L252="Sim"),"",I252+VLOOKUP(G252,$M$3:$N$7,2,FALSE))</f>
        <v/>
      </c>
      <c r="K252" s="17">
        <f>IF(L252="Sim","Perdido",IF(J252="","",IF(J252&lt;TODAY(),"ATRASADO",IF(J252=TODAY(),"Hoje","Em dia"))))</f>
        <v/>
      </c>
      <c r="L252" s="14" t="n"/>
      <c r="M252" s="14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5">
        <f>IF(G253="","",CHOOSE(G253,"Lead","Atendimento","Visita","Proposta","Venda"))</f>
        <v/>
      </c>
      <c r="I253" s="13" t="n"/>
      <c r="J253" s="16">
        <f>IF(OR(G253="",I253="",L253="Sim"),"",I253+VLOOKUP(G253,$M$3:$N$7,2,FALSE))</f>
        <v/>
      </c>
      <c r="K253" s="17">
        <f>IF(L253="Sim","Perdido",IF(J253="","",IF(J253&lt;TODAY(),"ATRASADO",IF(J253=TODAY(),"Hoje","Em dia"))))</f>
        <v/>
      </c>
      <c r="L253" s="14" t="n"/>
      <c r="M253" s="14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5">
        <f>IF(G254="","",CHOOSE(G254,"Lead","Atendimento","Visita","Proposta","Venda"))</f>
        <v/>
      </c>
      <c r="I254" s="13" t="n"/>
      <c r="J254" s="16">
        <f>IF(OR(G254="",I254="",L254="Sim"),"",I254+VLOOKUP(G254,$M$3:$N$7,2,FALSE))</f>
        <v/>
      </c>
      <c r="K254" s="17">
        <f>IF(L254="Sim","Perdido",IF(J254="","",IF(J254&lt;TODAY(),"ATRASADO",IF(J254=TODAY(),"Hoje","Em dia"))))</f>
        <v/>
      </c>
      <c r="L254" s="14" t="n"/>
      <c r="M254" s="14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5">
        <f>IF(G255="","",CHOOSE(G255,"Lead","Atendimento","Visita","Proposta","Venda"))</f>
        <v/>
      </c>
      <c r="I255" s="13" t="n"/>
      <c r="J255" s="16">
        <f>IF(OR(G255="",I255="",L255="Sim"),"",I255+VLOOKUP(G255,$M$3:$N$7,2,FALSE))</f>
        <v/>
      </c>
      <c r="K255" s="17">
        <f>IF(L255="Sim","Perdido",IF(J255="","",IF(J255&lt;TODAY(),"ATRASADO",IF(J255=TODAY(),"Hoje","Em dia"))))</f>
        <v/>
      </c>
      <c r="L255" s="14" t="n"/>
      <c r="M255" s="14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5">
        <f>IF(G256="","",CHOOSE(G256,"Lead","Atendimento","Visita","Proposta","Venda"))</f>
        <v/>
      </c>
      <c r="I256" s="13" t="n"/>
      <c r="J256" s="16">
        <f>IF(OR(G256="",I256="",L256="Sim"),"",I256+VLOOKUP(G256,$M$3:$N$7,2,FALSE))</f>
        <v/>
      </c>
      <c r="K256" s="17">
        <f>IF(L256="Sim","Perdido",IF(J256="","",IF(J256&lt;TODAY(),"ATRASADO",IF(J256=TODAY(),"Hoje","Em dia"))))</f>
        <v/>
      </c>
      <c r="L256" s="14" t="n"/>
      <c r="M256" s="14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5">
        <f>IF(G257="","",CHOOSE(G257,"Lead","Atendimento","Visita","Proposta","Venda"))</f>
        <v/>
      </c>
      <c r="I257" s="13" t="n"/>
      <c r="J257" s="16">
        <f>IF(OR(G257="",I257="",L257="Sim"),"",I257+VLOOKUP(G257,$M$3:$N$7,2,FALSE))</f>
        <v/>
      </c>
      <c r="K257" s="17">
        <f>IF(L257="Sim","Perdido",IF(J257="","",IF(J257&lt;TODAY(),"ATRASADO",IF(J257=TODAY(),"Hoje","Em dia"))))</f>
        <v/>
      </c>
      <c r="L257" s="14" t="n"/>
      <c r="M257" s="14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5">
        <f>IF(G258="","",CHOOSE(G258,"Lead","Atendimento","Visita","Proposta","Venda"))</f>
        <v/>
      </c>
      <c r="I258" s="13" t="n"/>
      <c r="J258" s="16">
        <f>IF(OR(G258="",I258="",L258="Sim"),"",I258+VLOOKUP(G258,$M$3:$N$7,2,FALSE))</f>
        <v/>
      </c>
      <c r="K258" s="17">
        <f>IF(L258="Sim","Perdido",IF(J258="","",IF(J258&lt;TODAY(),"ATRASADO",IF(J258=TODAY(),"Hoje","Em dia"))))</f>
        <v/>
      </c>
      <c r="L258" s="14" t="n"/>
      <c r="M258" s="14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5">
        <f>IF(G259="","",CHOOSE(G259,"Lead","Atendimento","Visita","Proposta","Venda"))</f>
        <v/>
      </c>
      <c r="I259" s="13" t="n"/>
      <c r="J259" s="16">
        <f>IF(OR(G259="",I259="",L259="Sim"),"",I259+VLOOKUP(G259,$M$3:$N$7,2,FALSE))</f>
        <v/>
      </c>
      <c r="K259" s="17">
        <f>IF(L259="Sim","Perdido",IF(J259="","",IF(J259&lt;TODAY(),"ATRASADO",IF(J259=TODAY(),"Hoje","Em dia"))))</f>
        <v/>
      </c>
      <c r="L259" s="14" t="n"/>
      <c r="M259" s="14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5">
        <f>IF(G260="","",CHOOSE(G260,"Lead","Atendimento","Visita","Proposta","Venda"))</f>
        <v/>
      </c>
      <c r="I260" s="13" t="n"/>
      <c r="J260" s="16">
        <f>IF(OR(G260="",I260="",L260="Sim"),"",I260+VLOOKUP(G260,$M$3:$N$7,2,FALSE))</f>
        <v/>
      </c>
      <c r="K260" s="17">
        <f>IF(L260="Sim","Perdido",IF(J260="","",IF(J260&lt;TODAY(),"ATRASADO",IF(J260=TODAY(),"Hoje","Em dia"))))</f>
        <v/>
      </c>
      <c r="L260" s="14" t="n"/>
      <c r="M260" s="14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5">
        <f>IF(G261="","",CHOOSE(G261,"Lead","Atendimento","Visita","Proposta","Venda"))</f>
        <v/>
      </c>
      <c r="I261" s="13" t="n"/>
      <c r="J261" s="16">
        <f>IF(OR(G261="",I261="",L261="Sim"),"",I261+VLOOKUP(G261,$M$3:$N$7,2,FALSE))</f>
        <v/>
      </c>
      <c r="K261" s="17">
        <f>IF(L261="Sim","Perdido",IF(J261="","",IF(J261&lt;TODAY(),"ATRASADO",IF(J261=TODAY(),"Hoje","Em dia"))))</f>
        <v/>
      </c>
      <c r="L261" s="14" t="n"/>
      <c r="M261" s="14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5">
        <f>IF(G262="","",CHOOSE(G262,"Lead","Atendimento","Visita","Proposta","Venda"))</f>
        <v/>
      </c>
      <c r="I262" s="13" t="n"/>
      <c r="J262" s="16">
        <f>IF(OR(G262="",I262="",L262="Sim"),"",I262+VLOOKUP(G262,$M$3:$N$7,2,FALSE))</f>
        <v/>
      </c>
      <c r="K262" s="17">
        <f>IF(L262="Sim","Perdido",IF(J262="","",IF(J262&lt;TODAY(),"ATRASADO",IF(J262=TODAY(),"Hoje","Em dia"))))</f>
        <v/>
      </c>
      <c r="L262" s="14" t="n"/>
      <c r="M262" s="14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5">
        <f>IF(G263="","",CHOOSE(G263,"Lead","Atendimento","Visita","Proposta","Venda"))</f>
        <v/>
      </c>
      <c r="I263" s="13" t="n"/>
      <c r="J263" s="16">
        <f>IF(OR(G263="",I263="",L263="Sim"),"",I263+VLOOKUP(G263,$M$3:$N$7,2,FALSE))</f>
        <v/>
      </c>
      <c r="K263" s="17">
        <f>IF(L263="Sim","Perdido",IF(J263="","",IF(J263&lt;TODAY(),"ATRASADO",IF(J263=TODAY(),"Hoje","Em dia"))))</f>
        <v/>
      </c>
      <c r="L263" s="14" t="n"/>
      <c r="M263" s="14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5">
        <f>IF(G264="","",CHOOSE(G264,"Lead","Atendimento","Visita","Proposta","Venda"))</f>
        <v/>
      </c>
      <c r="I264" s="13" t="n"/>
      <c r="J264" s="16">
        <f>IF(OR(G264="",I264="",L264="Sim"),"",I264+VLOOKUP(G264,$M$3:$N$7,2,FALSE))</f>
        <v/>
      </c>
      <c r="K264" s="17">
        <f>IF(L264="Sim","Perdido",IF(J264="","",IF(J264&lt;TODAY(),"ATRASADO",IF(J264=TODAY(),"Hoje","Em dia"))))</f>
        <v/>
      </c>
      <c r="L264" s="14" t="n"/>
      <c r="M264" s="14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5">
        <f>IF(G265="","",CHOOSE(G265,"Lead","Atendimento","Visita","Proposta","Venda"))</f>
        <v/>
      </c>
      <c r="I265" s="13" t="n"/>
      <c r="J265" s="16">
        <f>IF(OR(G265="",I265="",L265="Sim"),"",I265+VLOOKUP(G265,$M$3:$N$7,2,FALSE))</f>
        <v/>
      </c>
      <c r="K265" s="17">
        <f>IF(L265="Sim","Perdido",IF(J265="","",IF(J265&lt;TODAY(),"ATRASADO",IF(J265=TODAY(),"Hoje","Em dia"))))</f>
        <v/>
      </c>
      <c r="L265" s="14" t="n"/>
      <c r="M265" s="14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5">
        <f>IF(G266="","",CHOOSE(G266,"Lead","Atendimento","Visita","Proposta","Venda"))</f>
        <v/>
      </c>
      <c r="I266" s="13" t="n"/>
      <c r="J266" s="16">
        <f>IF(OR(G266="",I266="",L266="Sim"),"",I266+VLOOKUP(G266,$M$3:$N$7,2,FALSE))</f>
        <v/>
      </c>
      <c r="K266" s="17">
        <f>IF(L266="Sim","Perdido",IF(J266="","",IF(J266&lt;TODAY(),"ATRASADO",IF(J266=TODAY(),"Hoje","Em dia"))))</f>
        <v/>
      </c>
      <c r="L266" s="14" t="n"/>
      <c r="M266" s="14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5">
        <f>IF(G267="","",CHOOSE(G267,"Lead","Atendimento","Visita","Proposta","Venda"))</f>
        <v/>
      </c>
      <c r="I267" s="13" t="n"/>
      <c r="J267" s="16">
        <f>IF(OR(G267="",I267="",L267="Sim"),"",I267+VLOOKUP(G267,$M$3:$N$7,2,FALSE))</f>
        <v/>
      </c>
      <c r="K267" s="17">
        <f>IF(L267="Sim","Perdido",IF(J267="","",IF(J267&lt;TODAY(),"ATRASADO",IF(J267=TODAY(),"Hoje","Em dia"))))</f>
        <v/>
      </c>
      <c r="L267" s="14" t="n"/>
      <c r="M267" s="14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5">
        <f>IF(G268="","",CHOOSE(G268,"Lead","Atendimento","Visita","Proposta","Venda"))</f>
        <v/>
      </c>
      <c r="I268" s="13" t="n"/>
      <c r="J268" s="16">
        <f>IF(OR(G268="",I268="",L268="Sim"),"",I268+VLOOKUP(G268,$M$3:$N$7,2,FALSE))</f>
        <v/>
      </c>
      <c r="K268" s="17">
        <f>IF(L268="Sim","Perdido",IF(J268="","",IF(J268&lt;TODAY(),"ATRASADO",IF(J268=TODAY(),"Hoje","Em dia"))))</f>
        <v/>
      </c>
      <c r="L268" s="14" t="n"/>
      <c r="M268" s="14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5">
        <f>IF(G269="","",CHOOSE(G269,"Lead","Atendimento","Visita","Proposta","Venda"))</f>
        <v/>
      </c>
      <c r="I269" s="13" t="n"/>
      <c r="J269" s="16">
        <f>IF(OR(G269="",I269="",L269="Sim"),"",I269+VLOOKUP(G269,$M$3:$N$7,2,FALSE))</f>
        <v/>
      </c>
      <c r="K269" s="17">
        <f>IF(L269="Sim","Perdido",IF(J269="","",IF(J269&lt;TODAY(),"ATRASADO",IF(J269=TODAY(),"Hoje","Em dia"))))</f>
        <v/>
      </c>
      <c r="L269" s="14" t="n"/>
      <c r="M269" s="14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5">
        <f>IF(G270="","",CHOOSE(G270,"Lead","Atendimento","Visita","Proposta","Venda"))</f>
        <v/>
      </c>
      <c r="I270" s="13" t="n"/>
      <c r="J270" s="16">
        <f>IF(OR(G270="",I270="",L270="Sim"),"",I270+VLOOKUP(G270,$M$3:$N$7,2,FALSE))</f>
        <v/>
      </c>
      <c r="K270" s="17">
        <f>IF(L270="Sim","Perdido",IF(J270="","",IF(J270&lt;TODAY(),"ATRASADO",IF(J270=TODAY(),"Hoje","Em dia"))))</f>
        <v/>
      </c>
      <c r="L270" s="14" t="n"/>
      <c r="M270" s="14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5">
        <f>IF(G271="","",CHOOSE(G271,"Lead","Atendimento","Visita","Proposta","Venda"))</f>
        <v/>
      </c>
      <c r="I271" s="13" t="n"/>
      <c r="J271" s="16">
        <f>IF(OR(G271="",I271="",L271="Sim"),"",I271+VLOOKUP(G271,$M$3:$N$7,2,FALSE))</f>
        <v/>
      </c>
      <c r="K271" s="17">
        <f>IF(L271="Sim","Perdido",IF(J271="","",IF(J271&lt;TODAY(),"ATRASADO",IF(J271=TODAY(),"Hoje","Em dia"))))</f>
        <v/>
      </c>
      <c r="L271" s="14" t="n"/>
      <c r="M271" s="14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5">
        <f>IF(G272="","",CHOOSE(G272,"Lead","Atendimento","Visita","Proposta","Venda"))</f>
        <v/>
      </c>
      <c r="I272" s="13" t="n"/>
      <c r="J272" s="16">
        <f>IF(OR(G272="",I272="",L272="Sim"),"",I272+VLOOKUP(G272,$M$3:$N$7,2,FALSE))</f>
        <v/>
      </c>
      <c r="K272" s="17">
        <f>IF(L272="Sim","Perdido",IF(J272="","",IF(J272&lt;TODAY(),"ATRASADO",IF(J272=TODAY(),"Hoje","Em dia"))))</f>
        <v/>
      </c>
      <c r="L272" s="14" t="n"/>
      <c r="M272" s="14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5">
        <f>IF(G273="","",CHOOSE(G273,"Lead","Atendimento","Visita","Proposta","Venda"))</f>
        <v/>
      </c>
      <c r="I273" s="13" t="n"/>
      <c r="J273" s="16">
        <f>IF(OR(G273="",I273="",L273="Sim"),"",I273+VLOOKUP(G273,$M$3:$N$7,2,FALSE))</f>
        <v/>
      </c>
      <c r="K273" s="17">
        <f>IF(L273="Sim","Perdido",IF(J273="","",IF(J273&lt;TODAY(),"ATRASADO",IF(J273=TODAY(),"Hoje","Em dia"))))</f>
        <v/>
      </c>
      <c r="L273" s="14" t="n"/>
      <c r="M273" s="14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5">
        <f>IF(G274="","",CHOOSE(G274,"Lead","Atendimento","Visita","Proposta","Venda"))</f>
        <v/>
      </c>
      <c r="I274" s="13" t="n"/>
      <c r="J274" s="16">
        <f>IF(OR(G274="",I274="",L274="Sim"),"",I274+VLOOKUP(G274,$M$3:$N$7,2,FALSE))</f>
        <v/>
      </c>
      <c r="K274" s="17">
        <f>IF(L274="Sim","Perdido",IF(J274="","",IF(J274&lt;TODAY(),"ATRASADO",IF(J274=TODAY(),"Hoje","Em dia"))))</f>
        <v/>
      </c>
      <c r="L274" s="14" t="n"/>
      <c r="M274" s="14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5">
        <f>IF(G275="","",CHOOSE(G275,"Lead","Atendimento","Visita","Proposta","Venda"))</f>
        <v/>
      </c>
      <c r="I275" s="13" t="n"/>
      <c r="J275" s="16">
        <f>IF(OR(G275="",I275="",L275="Sim"),"",I275+VLOOKUP(G275,$M$3:$N$7,2,FALSE))</f>
        <v/>
      </c>
      <c r="K275" s="17">
        <f>IF(L275="Sim","Perdido",IF(J275="","",IF(J275&lt;TODAY(),"ATRASADO",IF(J275=TODAY(),"Hoje","Em dia"))))</f>
        <v/>
      </c>
      <c r="L275" s="14" t="n"/>
      <c r="M275" s="14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5">
        <f>IF(G276="","",CHOOSE(G276,"Lead","Atendimento","Visita","Proposta","Venda"))</f>
        <v/>
      </c>
      <c r="I276" s="13" t="n"/>
      <c r="J276" s="16">
        <f>IF(OR(G276="",I276="",L276="Sim"),"",I276+VLOOKUP(G276,$M$3:$N$7,2,FALSE))</f>
        <v/>
      </c>
      <c r="K276" s="17">
        <f>IF(L276="Sim","Perdido",IF(J276="","",IF(J276&lt;TODAY(),"ATRASADO",IF(J276=TODAY(),"Hoje","Em dia"))))</f>
        <v/>
      </c>
      <c r="L276" s="14" t="n"/>
      <c r="M276" s="14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5">
        <f>IF(G277="","",CHOOSE(G277,"Lead","Atendimento","Visita","Proposta","Venda"))</f>
        <v/>
      </c>
      <c r="I277" s="13" t="n"/>
      <c r="J277" s="16">
        <f>IF(OR(G277="",I277="",L277="Sim"),"",I277+VLOOKUP(G277,$M$3:$N$7,2,FALSE))</f>
        <v/>
      </c>
      <c r="K277" s="17">
        <f>IF(L277="Sim","Perdido",IF(J277="","",IF(J277&lt;TODAY(),"ATRASADO",IF(J277=TODAY(),"Hoje","Em dia"))))</f>
        <v/>
      </c>
      <c r="L277" s="14" t="n"/>
      <c r="M277" s="14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5">
        <f>IF(G278="","",CHOOSE(G278,"Lead","Atendimento","Visita","Proposta","Venda"))</f>
        <v/>
      </c>
      <c r="I278" s="13" t="n"/>
      <c r="J278" s="16">
        <f>IF(OR(G278="",I278="",L278="Sim"),"",I278+VLOOKUP(G278,$M$3:$N$7,2,FALSE))</f>
        <v/>
      </c>
      <c r="K278" s="17">
        <f>IF(L278="Sim","Perdido",IF(J278="","",IF(J278&lt;TODAY(),"ATRASADO",IF(J278=TODAY(),"Hoje","Em dia"))))</f>
        <v/>
      </c>
      <c r="L278" s="14" t="n"/>
      <c r="M278" s="14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5">
        <f>IF(G279="","",CHOOSE(G279,"Lead","Atendimento","Visita","Proposta","Venda"))</f>
        <v/>
      </c>
      <c r="I279" s="13" t="n"/>
      <c r="J279" s="16">
        <f>IF(OR(G279="",I279="",L279="Sim"),"",I279+VLOOKUP(G279,$M$3:$N$7,2,FALSE))</f>
        <v/>
      </c>
      <c r="K279" s="17">
        <f>IF(L279="Sim","Perdido",IF(J279="","",IF(J279&lt;TODAY(),"ATRASADO",IF(J279=TODAY(),"Hoje","Em dia"))))</f>
        <v/>
      </c>
      <c r="L279" s="14" t="n"/>
      <c r="M279" s="14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5">
        <f>IF(G280="","",CHOOSE(G280,"Lead","Atendimento","Visita","Proposta","Venda"))</f>
        <v/>
      </c>
      <c r="I280" s="13" t="n"/>
      <c r="J280" s="16">
        <f>IF(OR(G280="",I280="",L280="Sim"),"",I280+VLOOKUP(G280,$M$3:$N$7,2,FALSE))</f>
        <v/>
      </c>
      <c r="K280" s="17">
        <f>IF(L280="Sim","Perdido",IF(J280="","",IF(J280&lt;TODAY(),"ATRASADO",IF(J280=TODAY(),"Hoje","Em dia"))))</f>
        <v/>
      </c>
      <c r="L280" s="14" t="n"/>
      <c r="M280" s="14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5">
        <f>IF(G281="","",CHOOSE(G281,"Lead","Atendimento","Visita","Proposta","Venda"))</f>
        <v/>
      </c>
      <c r="I281" s="13" t="n"/>
      <c r="J281" s="16">
        <f>IF(OR(G281="",I281="",L281="Sim"),"",I281+VLOOKUP(G281,$M$3:$N$7,2,FALSE))</f>
        <v/>
      </c>
      <c r="K281" s="17">
        <f>IF(L281="Sim","Perdido",IF(J281="","",IF(J281&lt;TODAY(),"ATRASADO",IF(J281=TODAY(),"Hoje","Em dia"))))</f>
        <v/>
      </c>
      <c r="L281" s="14" t="n"/>
      <c r="M281" s="14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5">
        <f>IF(G282="","",CHOOSE(G282,"Lead","Atendimento","Visita","Proposta","Venda"))</f>
        <v/>
      </c>
      <c r="I282" s="13" t="n"/>
      <c r="J282" s="16">
        <f>IF(OR(G282="",I282="",L282="Sim"),"",I282+VLOOKUP(G282,$M$3:$N$7,2,FALSE))</f>
        <v/>
      </c>
      <c r="K282" s="17">
        <f>IF(L282="Sim","Perdido",IF(J282="","",IF(J282&lt;TODAY(),"ATRASADO",IF(J282=TODAY(),"Hoje","Em dia"))))</f>
        <v/>
      </c>
      <c r="L282" s="14" t="n"/>
      <c r="M282" s="14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5">
        <f>IF(G283="","",CHOOSE(G283,"Lead","Atendimento","Visita","Proposta","Venda"))</f>
        <v/>
      </c>
      <c r="I283" s="13" t="n"/>
      <c r="J283" s="16">
        <f>IF(OR(G283="",I283="",L283="Sim"),"",I283+VLOOKUP(G283,$M$3:$N$7,2,FALSE))</f>
        <v/>
      </c>
      <c r="K283" s="17">
        <f>IF(L283="Sim","Perdido",IF(J283="","",IF(J283&lt;TODAY(),"ATRASADO",IF(J283=TODAY(),"Hoje","Em dia"))))</f>
        <v/>
      </c>
      <c r="L283" s="14" t="n"/>
      <c r="M283" s="14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5">
        <f>IF(G284="","",CHOOSE(G284,"Lead","Atendimento","Visita","Proposta","Venda"))</f>
        <v/>
      </c>
      <c r="I284" s="13" t="n"/>
      <c r="J284" s="16">
        <f>IF(OR(G284="",I284="",L284="Sim"),"",I284+VLOOKUP(G284,$M$3:$N$7,2,FALSE))</f>
        <v/>
      </c>
      <c r="K284" s="17">
        <f>IF(L284="Sim","Perdido",IF(J284="","",IF(J284&lt;TODAY(),"ATRASADO",IF(J284=TODAY(),"Hoje","Em dia"))))</f>
        <v/>
      </c>
      <c r="L284" s="14" t="n"/>
      <c r="M284" s="14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5">
        <f>IF(G285="","",CHOOSE(G285,"Lead","Atendimento","Visita","Proposta","Venda"))</f>
        <v/>
      </c>
      <c r="I285" s="13" t="n"/>
      <c r="J285" s="16">
        <f>IF(OR(G285="",I285="",L285="Sim"),"",I285+VLOOKUP(G285,$M$3:$N$7,2,FALSE))</f>
        <v/>
      </c>
      <c r="K285" s="17">
        <f>IF(L285="Sim","Perdido",IF(J285="","",IF(J285&lt;TODAY(),"ATRASADO",IF(J285=TODAY(),"Hoje","Em dia"))))</f>
        <v/>
      </c>
      <c r="L285" s="14" t="n"/>
      <c r="M285" s="14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5">
        <f>IF(G286="","",CHOOSE(G286,"Lead","Atendimento","Visita","Proposta","Venda"))</f>
        <v/>
      </c>
      <c r="I286" s="13" t="n"/>
      <c r="J286" s="16">
        <f>IF(OR(G286="",I286="",L286="Sim"),"",I286+VLOOKUP(G286,$M$3:$N$7,2,FALSE))</f>
        <v/>
      </c>
      <c r="K286" s="17">
        <f>IF(L286="Sim","Perdido",IF(J286="","",IF(J286&lt;TODAY(),"ATRASADO",IF(J286=TODAY(),"Hoje","Em dia"))))</f>
        <v/>
      </c>
      <c r="L286" s="14" t="n"/>
      <c r="M286" s="14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5">
        <f>IF(G287="","",CHOOSE(G287,"Lead","Atendimento","Visita","Proposta","Venda"))</f>
        <v/>
      </c>
      <c r="I287" s="13" t="n"/>
      <c r="J287" s="16">
        <f>IF(OR(G287="",I287="",L287="Sim"),"",I287+VLOOKUP(G287,$M$3:$N$7,2,FALSE))</f>
        <v/>
      </c>
      <c r="K287" s="17">
        <f>IF(L287="Sim","Perdido",IF(J287="","",IF(J287&lt;TODAY(),"ATRASADO",IF(J287=TODAY(),"Hoje","Em dia"))))</f>
        <v/>
      </c>
      <c r="L287" s="14" t="n"/>
      <c r="M287" s="14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5">
        <f>IF(G288="","",CHOOSE(G288,"Lead","Atendimento","Visita","Proposta","Venda"))</f>
        <v/>
      </c>
      <c r="I288" s="13" t="n"/>
      <c r="J288" s="16">
        <f>IF(OR(G288="",I288="",L288="Sim"),"",I288+VLOOKUP(G288,$M$3:$N$7,2,FALSE))</f>
        <v/>
      </c>
      <c r="K288" s="17">
        <f>IF(L288="Sim","Perdido",IF(J288="","",IF(J288&lt;TODAY(),"ATRASADO",IF(J288=TODAY(),"Hoje","Em dia"))))</f>
        <v/>
      </c>
      <c r="L288" s="14" t="n"/>
      <c r="M288" s="14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5">
        <f>IF(G289="","",CHOOSE(G289,"Lead","Atendimento","Visita","Proposta","Venda"))</f>
        <v/>
      </c>
      <c r="I289" s="13" t="n"/>
      <c r="J289" s="16">
        <f>IF(OR(G289="",I289="",L289="Sim"),"",I289+VLOOKUP(G289,$M$3:$N$7,2,FALSE))</f>
        <v/>
      </c>
      <c r="K289" s="17">
        <f>IF(L289="Sim","Perdido",IF(J289="","",IF(J289&lt;TODAY(),"ATRASADO",IF(J289=TODAY(),"Hoje","Em dia"))))</f>
        <v/>
      </c>
      <c r="L289" s="14" t="n"/>
      <c r="M289" s="14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5">
        <f>IF(G290="","",CHOOSE(G290,"Lead","Atendimento","Visita","Proposta","Venda"))</f>
        <v/>
      </c>
      <c r="I290" s="13" t="n"/>
      <c r="J290" s="16">
        <f>IF(OR(G290="",I290="",L290="Sim"),"",I290+VLOOKUP(G290,$M$3:$N$7,2,FALSE))</f>
        <v/>
      </c>
      <c r="K290" s="17">
        <f>IF(L290="Sim","Perdido",IF(J290="","",IF(J290&lt;TODAY(),"ATRASADO",IF(J290=TODAY(),"Hoje","Em dia"))))</f>
        <v/>
      </c>
      <c r="L290" s="14" t="n"/>
      <c r="M290" s="14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5">
        <f>IF(G291="","",CHOOSE(G291,"Lead","Atendimento","Visita","Proposta","Venda"))</f>
        <v/>
      </c>
      <c r="I291" s="13" t="n"/>
      <c r="J291" s="16">
        <f>IF(OR(G291="",I291="",L291="Sim"),"",I291+VLOOKUP(G291,$M$3:$N$7,2,FALSE))</f>
        <v/>
      </c>
      <c r="K291" s="17">
        <f>IF(L291="Sim","Perdido",IF(J291="","",IF(J291&lt;TODAY(),"ATRASADO",IF(J291=TODAY(),"Hoje","Em dia"))))</f>
        <v/>
      </c>
      <c r="L291" s="14" t="n"/>
      <c r="M291" s="14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5">
        <f>IF(G292="","",CHOOSE(G292,"Lead","Atendimento","Visita","Proposta","Venda"))</f>
        <v/>
      </c>
      <c r="I292" s="13" t="n"/>
      <c r="J292" s="16">
        <f>IF(OR(G292="",I292="",L292="Sim"),"",I292+VLOOKUP(G292,$M$3:$N$7,2,FALSE))</f>
        <v/>
      </c>
      <c r="K292" s="17">
        <f>IF(L292="Sim","Perdido",IF(J292="","",IF(J292&lt;TODAY(),"ATRASADO",IF(J292=TODAY(),"Hoje","Em dia"))))</f>
        <v/>
      </c>
      <c r="L292" s="14" t="n"/>
      <c r="M292" s="14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5">
        <f>IF(G293="","",CHOOSE(G293,"Lead","Atendimento","Visita","Proposta","Venda"))</f>
        <v/>
      </c>
      <c r="I293" s="13" t="n"/>
      <c r="J293" s="16">
        <f>IF(OR(G293="",I293="",L293="Sim"),"",I293+VLOOKUP(G293,$M$3:$N$7,2,FALSE))</f>
        <v/>
      </c>
      <c r="K293" s="17">
        <f>IF(L293="Sim","Perdido",IF(J293="","",IF(J293&lt;TODAY(),"ATRASADO",IF(J293=TODAY(),"Hoje","Em dia"))))</f>
        <v/>
      </c>
      <c r="L293" s="14" t="n"/>
      <c r="M293" s="14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5">
        <f>IF(G294="","",CHOOSE(G294,"Lead","Atendimento","Visita","Proposta","Venda"))</f>
        <v/>
      </c>
      <c r="I294" s="13" t="n"/>
      <c r="J294" s="16">
        <f>IF(OR(G294="",I294="",L294="Sim"),"",I294+VLOOKUP(G294,$M$3:$N$7,2,FALSE))</f>
        <v/>
      </c>
      <c r="K294" s="17">
        <f>IF(L294="Sim","Perdido",IF(J294="","",IF(J294&lt;TODAY(),"ATRASADO",IF(J294=TODAY(),"Hoje","Em dia"))))</f>
        <v/>
      </c>
      <c r="L294" s="14" t="n"/>
      <c r="M294" s="14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5">
        <f>IF(G295="","",CHOOSE(G295,"Lead","Atendimento","Visita","Proposta","Venda"))</f>
        <v/>
      </c>
      <c r="I295" s="13" t="n"/>
      <c r="J295" s="16">
        <f>IF(OR(G295="",I295="",L295="Sim"),"",I295+VLOOKUP(G295,$M$3:$N$7,2,FALSE))</f>
        <v/>
      </c>
      <c r="K295" s="17">
        <f>IF(L295="Sim","Perdido",IF(J295="","",IF(J295&lt;TODAY(),"ATRASADO",IF(J295=TODAY(),"Hoje","Em dia"))))</f>
        <v/>
      </c>
      <c r="L295" s="14" t="n"/>
      <c r="M295" s="14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5">
        <f>IF(G296="","",CHOOSE(G296,"Lead","Atendimento","Visita","Proposta","Venda"))</f>
        <v/>
      </c>
      <c r="I296" s="13" t="n"/>
      <c r="J296" s="16">
        <f>IF(OR(G296="",I296="",L296="Sim"),"",I296+VLOOKUP(G296,$M$3:$N$7,2,FALSE))</f>
        <v/>
      </c>
      <c r="K296" s="17">
        <f>IF(L296="Sim","Perdido",IF(J296="","",IF(J296&lt;TODAY(),"ATRASADO",IF(J296=TODAY(),"Hoje","Em dia"))))</f>
        <v/>
      </c>
      <c r="L296" s="14" t="n"/>
      <c r="M296" s="14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5">
        <f>IF(G297="","",CHOOSE(G297,"Lead","Atendimento","Visita","Proposta","Venda"))</f>
        <v/>
      </c>
      <c r="I297" s="13" t="n"/>
      <c r="J297" s="16">
        <f>IF(OR(G297="",I297="",L297="Sim"),"",I297+VLOOKUP(G297,$M$3:$N$7,2,FALSE))</f>
        <v/>
      </c>
      <c r="K297" s="17">
        <f>IF(L297="Sim","Perdido",IF(J297="","",IF(J297&lt;TODAY(),"ATRASADO",IF(J297=TODAY(),"Hoje","Em dia"))))</f>
        <v/>
      </c>
      <c r="L297" s="14" t="n"/>
      <c r="M297" s="14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5">
        <f>IF(G298="","",CHOOSE(G298,"Lead","Atendimento","Visita","Proposta","Venda"))</f>
        <v/>
      </c>
      <c r="I298" s="13" t="n"/>
      <c r="J298" s="16">
        <f>IF(OR(G298="",I298="",L298="Sim"),"",I298+VLOOKUP(G298,$M$3:$N$7,2,FALSE))</f>
        <v/>
      </c>
      <c r="K298" s="17">
        <f>IF(L298="Sim","Perdido",IF(J298="","",IF(J298&lt;TODAY(),"ATRASADO",IF(J298=TODAY(),"Hoje","Em dia"))))</f>
        <v/>
      </c>
      <c r="L298" s="14" t="n"/>
      <c r="M298" s="14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5">
        <f>IF(G299="","",CHOOSE(G299,"Lead","Atendimento","Visita","Proposta","Venda"))</f>
        <v/>
      </c>
      <c r="I299" s="13" t="n"/>
      <c r="J299" s="16">
        <f>IF(OR(G299="",I299="",L299="Sim"),"",I299+VLOOKUP(G299,$M$3:$N$7,2,FALSE))</f>
        <v/>
      </c>
      <c r="K299" s="17">
        <f>IF(L299="Sim","Perdido",IF(J299="","",IF(J299&lt;TODAY(),"ATRASADO",IF(J299=TODAY(),"Hoje","Em dia"))))</f>
        <v/>
      </c>
      <c r="L299" s="14" t="n"/>
      <c r="M299" s="14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5">
        <f>IF(G300="","",CHOOSE(G300,"Lead","Atendimento","Visita","Proposta","Venda"))</f>
        <v/>
      </c>
      <c r="I300" s="13" t="n"/>
      <c r="J300" s="16">
        <f>IF(OR(G300="",I300="",L300="Sim"),"",I300+VLOOKUP(G300,$M$3:$N$7,2,FALSE))</f>
        <v/>
      </c>
      <c r="K300" s="17">
        <f>IF(L300="Sim","Perdido",IF(J300="","",IF(J300&lt;TODAY(),"ATRASADO",IF(J300=TODAY(),"Hoje","Em dia"))))</f>
        <v/>
      </c>
      <c r="L300" s="14" t="n"/>
      <c r="M300" s="14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5">
        <f>IF(G301="","",CHOOSE(G301,"Lead","Atendimento","Visita","Proposta","Venda"))</f>
        <v/>
      </c>
      <c r="I301" s="13" t="n"/>
      <c r="J301" s="16">
        <f>IF(OR(G301="",I301="",L301="Sim"),"",I301+VLOOKUP(G301,$M$3:$N$7,2,FALSE))</f>
        <v/>
      </c>
      <c r="K301" s="17">
        <f>IF(L301="Sim","Perdido",IF(J301="","",IF(J301&lt;TODAY(),"ATRASADO",IF(J301=TODAY(),"Hoje","Em dia"))))</f>
        <v/>
      </c>
      <c r="L301" s="14" t="n"/>
      <c r="M301" s="14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5">
        <f>IF(G302="","",CHOOSE(G302,"Lead","Atendimento","Visita","Proposta","Venda"))</f>
        <v/>
      </c>
      <c r="I302" s="13" t="n"/>
      <c r="J302" s="16">
        <f>IF(OR(G302="",I302="",L302="Sim"),"",I302+VLOOKUP(G302,$M$3:$N$7,2,FALSE))</f>
        <v/>
      </c>
      <c r="K302" s="17">
        <f>IF(L302="Sim","Perdido",IF(J302="","",IF(J302&lt;TODAY(),"ATRASADO",IF(J302=TODAY(),"Hoje","Em dia"))))</f>
        <v/>
      </c>
      <c r="L302" s="14" t="n"/>
      <c r="M302" s="14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5">
        <f>IF(G303="","",CHOOSE(G303,"Lead","Atendimento","Visita","Proposta","Venda"))</f>
        <v/>
      </c>
      <c r="I303" s="13" t="n"/>
      <c r="J303" s="16">
        <f>IF(OR(G303="",I303="",L303="Sim"),"",I303+VLOOKUP(G303,$M$3:$N$7,2,FALSE))</f>
        <v/>
      </c>
      <c r="K303" s="17">
        <f>IF(L303="Sim","Perdido",IF(J303="","",IF(J303&lt;TODAY(),"ATRASADO",IF(J303=TODAY(),"Hoje","Em dia"))))</f>
        <v/>
      </c>
      <c r="L303" s="14" t="n"/>
      <c r="M303" s="14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5">
        <f>IF(G304="","",CHOOSE(G304,"Lead","Atendimento","Visita","Proposta","Venda"))</f>
        <v/>
      </c>
      <c r="I304" s="13" t="n"/>
      <c r="J304" s="16">
        <f>IF(OR(G304="",I304="",L304="Sim"),"",I304+VLOOKUP(G304,$M$3:$N$7,2,FALSE))</f>
        <v/>
      </c>
      <c r="K304" s="17">
        <f>IF(L304="Sim","Perdido",IF(J304="","",IF(J304&lt;TODAY(),"ATRASADO",IF(J304=TODAY(),"Hoje","Em dia"))))</f>
        <v/>
      </c>
      <c r="L304" s="14" t="n"/>
      <c r="M304" s="14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5">
        <f>IF(G305="","",CHOOSE(G305,"Lead","Atendimento","Visita","Proposta","Venda"))</f>
        <v/>
      </c>
      <c r="I305" s="13" t="n"/>
      <c r="J305" s="16">
        <f>IF(OR(G305="",I305="",L305="Sim"),"",I305+VLOOKUP(G305,$M$3:$N$7,2,FALSE))</f>
        <v/>
      </c>
      <c r="K305" s="17">
        <f>IF(L305="Sim","Perdido",IF(J305="","",IF(J305&lt;TODAY(),"ATRASADO",IF(J305=TODAY(),"Hoje","Em dia"))))</f>
        <v/>
      </c>
      <c r="L305" s="14" t="n"/>
      <c r="M305" s="14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5">
        <f>IF(G306="","",CHOOSE(G306,"Lead","Atendimento","Visita","Proposta","Venda"))</f>
        <v/>
      </c>
      <c r="I306" s="13" t="n"/>
      <c r="J306" s="16">
        <f>IF(OR(G306="",I306="",L306="Sim"),"",I306+VLOOKUP(G306,$M$3:$N$7,2,FALSE))</f>
        <v/>
      </c>
      <c r="K306" s="17">
        <f>IF(L306="Sim","Perdido",IF(J306="","",IF(J306&lt;TODAY(),"ATRASADO",IF(J306=TODAY(),"Hoje","Em dia"))))</f>
        <v/>
      </c>
      <c r="L306" s="14" t="n"/>
      <c r="M306" s="14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5">
        <f>IF(G307="","",CHOOSE(G307,"Lead","Atendimento","Visita","Proposta","Venda"))</f>
        <v/>
      </c>
      <c r="I307" s="13" t="n"/>
      <c r="J307" s="16">
        <f>IF(OR(G307="",I307="",L307="Sim"),"",I307+VLOOKUP(G307,$M$3:$N$7,2,FALSE))</f>
        <v/>
      </c>
      <c r="K307" s="17">
        <f>IF(L307="Sim","Perdido",IF(J307="","",IF(J307&lt;TODAY(),"ATRASADO",IF(J307=TODAY(),"Hoje","Em dia"))))</f>
        <v/>
      </c>
      <c r="L307" s="14" t="n"/>
      <c r="M307" s="14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5">
        <f>IF(G308="","",CHOOSE(G308,"Lead","Atendimento","Visita","Proposta","Venda"))</f>
        <v/>
      </c>
      <c r="I308" s="13" t="n"/>
      <c r="J308" s="16">
        <f>IF(OR(G308="",I308="",L308="Sim"),"",I308+VLOOKUP(G308,$M$3:$N$7,2,FALSE))</f>
        <v/>
      </c>
      <c r="K308" s="17">
        <f>IF(L308="Sim","Perdido",IF(J308="","",IF(J308&lt;TODAY(),"ATRASADO",IF(J308=TODAY(),"Hoje","Em dia"))))</f>
        <v/>
      </c>
      <c r="L308" s="14" t="n"/>
      <c r="M308" s="14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5">
        <f>IF(G309="","",CHOOSE(G309,"Lead","Atendimento","Visita","Proposta","Venda"))</f>
        <v/>
      </c>
      <c r="I309" s="13" t="n"/>
      <c r="J309" s="16">
        <f>IF(OR(G309="",I309="",L309="Sim"),"",I309+VLOOKUP(G309,$M$3:$N$7,2,FALSE))</f>
        <v/>
      </c>
      <c r="K309" s="17">
        <f>IF(L309="Sim","Perdido",IF(J309="","",IF(J309&lt;TODAY(),"ATRASADO",IF(J309=TODAY(),"Hoje","Em dia"))))</f>
        <v/>
      </c>
      <c r="L309" s="14" t="n"/>
      <c r="M309" s="14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5">
        <f>IF(G310="","",CHOOSE(G310,"Lead","Atendimento","Visita","Proposta","Venda"))</f>
        <v/>
      </c>
      <c r="I310" s="13" t="n"/>
      <c r="J310" s="16">
        <f>IF(OR(G310="",I310="",L310="Sim"),"",I310+VLOOKUP(G310,$M$3:$N$7,2,FALSE))</f>
        <v/>
      </c>
      <c r="K310" s="17">
        <f>IF(L310="Sim","Perdido",IF(J310="","",IF(J310&lt;TODAY(),"ATRASADO",IF(J310=TODAY(),"Hoje","Em dia"))))</f>
        <v/>
      </c>
      <c r="L310" s="14" t="n"/>
      <c r="M310" s="14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5">
        <f>IF(G311="","",CHOOSE(G311,"Lead","Atendimento","Visita","Proposta","Venda"))</f>
        <v/>
      </c>
      <c r="I311" s="13" t="n"/>
      <c r="J311" s="16">
        <f>IF(OR(G311="",I311="",L311="Sim"),"",I311+VLOOKUP(G311,$M$3:$N$7,2,FALSE))</f>
        <v/>
      </c>
      <c r="K311" s="17">
        <f>IF(L311="Sim","Perdido",IF(J311="","",IF(J311&lt;TODAY(),"ATRASADO",IF(J311=TODAY(),"Hoje","Em dia"))))</f>
        <v/>
      </c>
      <c r="L311" s="14" t="n"/>
      <c r="M311" s="14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5">
        <f>IF(G312="","",CHOOSE(G312,"Lead","Atendimento","Visita","Proposta","Venda"))</f>
        <v/>
      </c>
      <c r="I312" s="13" t="n"/>
      <c r="J312" s="16">
        <f>IF(OR(G312="",I312="",L312="Sim"),"",I312+VLOOKUP(G312,$M$3:$N$7,2,FALSE))</f>
        <v/>
      </c>
      <c r="K312" s="17">
        <f>IF(L312="Sim","Perdido",IF(J312="","",IF(J312&lt;TODAY(),"ATRASADO",IF(J312=TODAY(),"Hoje","Em dia"))))</f>
        <v/>
      </c>
      <c r="L312" s="14" t="n"/>
      <c r="M312" s="14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5">
        <f>IF(G313="","",CHOOSE(G313,"Lead","Atendimento","Visita","Proposta","Venda"))</f>
        <v/>
      </c>
      <c r="I313" s="13" t="n"/>
      <c r="J313" s="16">
        <f>IF(OR(G313="",I313="",L313="Sim"),"",I313+VLOOKUP(G313,$M$3:$N$7,2,FALSE))</f>
        <v/>
      </c>
      <c r="K313" s="17">
        <f>IF(L313="Sim","Perdido",IF(J313="","",IF(J313&lt;TODAY(),"ATRASADO",IF(J313=TODAY(),"Hoje","Em dia"))))</f>
        <v/>
      </c>
      <c r="L313" s="14" t="n"/>
      <c r="M313" s="14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5">
        <f>IF(G314="","",CHOOSE(G314,"Lead","Atendimento","Visita","Proposta","Venda"))</f>
        <v/>
      </c>
      <c r="I314" s="13" t="n"/>
      <c r="J314" s="16">
        <f>IF(OR(G314="",I314="",L314="Sim"),"",I314+VLOOKUP(G314,$M$3:$N$7,2,FALSE))</f>
        <v/>
      </c>
      <c r="K314" s="17">
        <f>IF(L314="Sim","Perdido",IF(J314="","",IF(J314&lt;TODAY(),"ATRASADO",IF(J314=TODAY(),"Hoje","Em dia"))))</f>
        <v/>
      </c>
      <c r="L314" s="14" t="n"/>
      <c r="M314" s="14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5">
        <f>IF(G315="","",CHOOSE(G315,"Lead","Atendimento","Visita","Proposta","Venda"))</f>
        <v/>
      </c>
      <c r="I315" s="13" t="n"/>
      <c r="J315" s="16">
        <f>IF(OR(G315="",I315="",L315="Sim"),"",I315+VLOOKUP(G315,$M$3:$N$7,2,FALSE))</f>
        <v/>
      </c>
      <c r="K315" s="17">
        <f>IF(L315="Sim","Perdido",IF(J315="","",IF(J315&lt;TODAY(),"ATRASADO",IF(J315=TODAY(),"Hoje","Em dia"))))</f>
        <v/>
      </c>
      <c r="L315" s="14" t="n"/>
      <c r="M315" s="14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5">
        <f>IF(G316="","",CHOOSE(G316,"Lead","Atendimento","Visita","Proposta","Venda"))</f>
        <v/>
      </c>
      <c r="I316" s="13" t="n"/>
      <c r="J316" s="16">
        <f>IF(OR(G316="",I316="",L316="Sim"),"",I316+VLOOKUP(G316,$M$3:$N$7,2,FALSE))</f>
        <v/>
      </c>
      <c r="K316" s="17">
        <f>IF(L316="Sim","Perdido",IF(J316="","",IF(J316&lt;TODAY(),"ATRASADO",IF(J316=TODAY(),"Hoje","Em dia"))))</f>
        <v/>
      </c>
      <c r="L316" s="14" t="n"/>
      <c r="M316" s="14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5">
        <f>IF(G317="","",CHOOSE(G317,"Lead","Atendimento","Visita","Proposta","Venda"))</f>
        <v/>
      </c>
      <c r="I317" s="13" t="n"/>
      <c r="J317" s="16">
        <f>IF(OR(G317="",I317="",L317="Sim"),"",I317+VLOOKUP(G317,$M$3:$N$7,2,FALSE))</f>
        <v/>
      </c>
      <c r="K317" s="17">
        <f>IF(L317="Sim","Perdido",IF(J317="","",IF(J317&lt;TODAY(),"ATRASADO",IF(J317=TODAY(),"Hoje","Em dia"))))</f>
        <v/>
      </c>
      <c r="L317" s="14" t="n"/>
      <c r="M317" s="14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5">
        <f>IF(G318="","",CHOOSE(G318,"Lead","Atendimento","Visita","Proposta","Venda"))</f>
        <v/>
      </c>
      <c r="I318" s="13" t="n"/>
      <c r="J318" s="16">
        <f>IF(OR(G318="",I318="",L318="Sim"),"",I318+VLOOKUP(G318,$M$3:$N$7,2,FALSE))</f>
        <v/>
      </c>
      <c r="K318" s="17">
        <f>IF(L318="Sim","Perdido",IF(J318="","",IF(J318&lt;TODAY(),"ATRASADO",IF(J318=TODAY(),"Hoje","Em dia"))))</f>
        <v/>
      </c>
      <c r="L318" s="14" t="n"/>
      <c r="M318" s="14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5">
        <f>IF(G319="","",CHOOSE(G319,"Lead","Atendimento","Visita","Proposta","Venda"))</f>
        <v/>
      </c>
      <c r="I319" s="13" t="n"/>
      <c r="J319" s="16">
        <f>IF(OR(G319="",I319="",L319="Sim"),"",I319+VLOOKUP(G319,$M$3:$N$7,2,FALSE))</f>
        <v/>
      </c>
      <c r="K319" s="17">
        <f>IF(L319="Sim","Perdido",IF(J319="","",IF(J319&lt;TODAY(),"ATRASADO",IF(J319=TODAY(),"Hoje","Em dia"))))</f>
        <v/>
      </c>
      <c r="L319" s="14" t="n"/>
      <c r="M319" s="14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5">
        <f>IF(G320="","",CHOOSE(G320,"Lead","Atendimento","Visita","Proposta","Venda"))</f>
        <v/>
      </c>
      <c r="I320" s="13" t="n"/>
      <c r="J320" s="16">
        <f>IF(OR(G320="",I320="",L320="Sim"),"",I320+VLOOKUP(G320,$M$3:$N$7,2,FALSE))</f>
        <v/>
      </c>
      <c r="K320" s="17">
        <f>IF(L320="Sim","Perdido",IF(J320="","",IF(J320&lt;TODAY(),"ATRASADO",IF(J320=TODAY(),"Hoje","Em dia"))))</f>
        <v/>
      </c>
      <c r="L320" s="14" t="n"/>
      <c r="M320" s="14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5">
        <f>IF(G321="","",CHOOSE(G321,"Lead","Atendimento","Visita","Proposta","Venda"))</f>
        <v/>
      </c>
      <c r="I321" s="13" t="n"/>
      <c r="J321" s="16">
        <f>IF(OR(G321="",I321="",L321="Sim"),"",I321+VLOOKUP(G321,$M$3:$N$7,2,FALSE))</f>
        <v/>
      </c>
      <c r="K321" s="17">
        <f>IF(L321="Sim","Perdido",IF(J321="","",IF(J321&lt;TODAY(),"ATRASADO",IF(J321=TODAY(),"Hoje","Em dia"))))</f>
        <v/>
      </c>
      <c r="L321" s="14" t="n"/>
      <c r="M321" s="14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5">
        <f>IF(G322="","",CHOOSE(G322,"Lead","Atendimento","Visita","Proposta","Venda"))</f>
        <v/>
      </c>
      <c r="I322" s="13" t="n"/>
      <c r="J322" s="16">
        <f>IF(OR(G322="",I322="",L322="Sim"),"",I322+VLOOKUP(G322,$M$3:$N$7,2,FALSE))</f>
        <v/>
      </c>
      <c r="K322" s="17">
        <f>IF(L322="Sim","Perdido",IF(J322="","",IF(J322&lt;TODAY(),"ATRASADO",IF(J322=TODAY(),"Hoje","Em dia"))))</f>
        <v/>
      </c>
      <c r="L322" s="14" t="n"/>
      <c r="M322" s="14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5">
        <f>IF(G323="","",CHOOSE(G323,"Lead","Atendimento","Visita","Proposta","Venda"))</f>
        <v/>
      </c>
      <c r="I323" s="13" t="n"/>
      <c r="J323" s="16">
        <f>IF(OR(G323="",I323="",L323="Sim"),"",I323+VLOOKUP(G323,$M$3:$N$7,2,FALSE))</f>
        <v/>
      </c>
      <c r="K323" s="17">
        <f>IF(L323="Sim","Perdido",IF(J323="","",IF(J323&lt;TODAY(),"ATRASADO",IF(J323=TODAY(),"Hoje","Em dia"))))</f>
        <v/>
      </c>
      <c r="L323" s="14" t="n"/>
      <c r="M323" s="14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5">
        <f>IF(G324="","",CHOOSE(G324,"Lead","Atendimento","Visita","Proposta","Venda"))</f>
        <v/>
      </c>
      <c r="I324" s="13" t="n"/>
      <c r="J324" s="16">
        <f>IF(OR(G324="",I324="",L324="Sim"),"",I324+VLOOKUP(G324,$M$3:$N$7,2,FALSE))</f>
        <v/>
      </c>
      <c r="K324" s="17">
        <f>IF(L324="Sim","Perdido",IF(J324="","",IF(J324&lt;TODAY(),"ATRASADO",IF(J324=TODAY(),"Hoje","Em dia"))))</f>
        <v/>
      </c>
      <c r="L324" s="14" t="n"/>
      <c r="M324" s="14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5">
        <f>IF(G325="","",CHOOSE(G325,"Lead","Atendimento","Visita","Proposta","Venda"))</f>
        <v/>
      </c>
      <c r="I325" s="13" t="n"/>
      <c r="J325" s="16">
        <f>IF(OR(G325="",I325="",L325="Sim"),"",I325+VLOOKUP(G325,$M$3:$N$7,2,FALSE))</f>
        <v/>
      </c>
      <c r="K325" s="17">
        <f>IF(L325="Sim","Perdido",IF(J325="","",IF(J325&lt;TODAY(),"ATRASADO",IF(J325=TODAY(),"Hoje","Em dia"))))</f>
        <v/>
      </c>
      <c r="L325" s="14" t="n"/>
      <c r="M325" s="14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5">
        <f>IF(G326="","",CHOOSE(G326,"Lead","Atendimento","Visita","Proposta","Venda"))</f>
        <v/>
      </c>
      <c r="I326" s="13" t="n"/>
      <c r="J326" s="16">
        <f>IF(OR(G326="",I326="",L326="Sim"),"",I326+VLOOKUP(G326,$M$3:$N$7,2,FALSE))</f>
        <v/>
      </c>
      <c r="K326" s="17">
        <f>IF(L326="Sim","Perdido",IF(J326="","",IF(J326&lt;TODAY(),"ATRASADO",IF(J326=TODAY(),"Hoje","Em dia"))))</f>
        <v/>
      </c>
      <c r="L326" s="14" t="n"/>
      <c r="M326" s="14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5">
        <f>IF(G327="","",CHOOSE(G327,"Lead","Atendimento","Visita","Proposta","Venda"))</f>
        <v/>
      </c>
      <c r="I327" s="13" t="n"/>
      <c r="J327" s="16">
        <f>IF(OR(G327="",I327="",L327="Sim"),"",I327+VLOOKUP(G327,$M$3:$N$7,2,FALSE))</f>
        <v/>
      </c>
      <c r="K327" s="17">
        <f>IF(L327="Sim","Perdido",IF(J327="","",IF(J327&lt;TODAY(),"ATRASADO",IF(J327=TODAY(),"Hoje","Em dia"))))</f>
        <v/>
      </c>
      <c r="L327" s="14" t="n"/>
      <c r="M327" s="14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5">
        <f>IF(G328="","",CHOOSE(G328,"Lead","Atendimento","Visita","Proposta","Venda"))</f>
        <v/>
      </c>
      <c r="I328" s="13" t="n"/>
      <c r="J328" s="16">
        <f>IF(OR(G328="",I328="",L328="Sim"),"",I328+VLOOKUP(G328,$M$3:$N$7,2,FALSE))</f>
        <v/>
      </c>
      <c r="K328" s="17">
        <f>IF(L328="Sim","Perdido",IF(J328="","",IF(J328&lt;TODAY(),"ATRASADO",IF(J328=TODAY(),"Hoje","Em dia"))))</f>
        <v/>
      </c>
      <c r="L328" s="14" t="n"/>
      <c r="M328" s="14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5">
        <f>IF(G329="","",CHOOSE(G329,"Lead","Atendimento","Visita","Proposta","Venda"))</f>
        <v/>
      </c>
      <c r="I329" s="13" t="n"/>
      <c r="J329" s="16">
        <f>IF(OR(G329="",I329="",L329="Sim"),"",I329+VLOOKUP(G329,$M$3:$N$7,2,FALSE))</f>
        <v/>
      </c>
      <c r="K329" s="17">
        <f>IF(L329="Sim","Perdido",IF(J329="","",IF(J329&lt;TODAY(),"ATRASADO",IF(J329=TODAY(),"Hoje","Em dia"))))</f>
        <v/>
      </c>
      <c r="L329" s="14" t="n"/>
      <c r="M329" s="14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5">
        <f>IF(G330="","",CHOOSE(G330,"Lead","Atendimento","Visita","Proposta","Venda"))</f>
        <v/>
      </c>
      <c r="I330" s="13" t="n"/>
      <c r="J330" s="16">
        <f>IF(OR(G330="",I330="",L330="Sim"),"",I330+VLOOKUP(G330,$M$3:$N$7,2,FALSE))</f>
        <v/>
      </c>
      <c r="K330" s="17">
        <f>IF(L330="Sim","Perdido",IF(J330="","",IF(J330&lt;TODAY(),"ATRASADO",IF(J330=TODAY(),"Hoje","Em dia"))))</f>
        <v/>
      </c>
      <c r="L330" s="14" t="n"/>
      <c r="M330" s="14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5">
        <f>IF(G331="","",CHOOSE(G331,"Lead","Atendimento","Visita","Proposta","Venda"))</f>
        <v/>
      </c>
      <c r="I331" s="13" t="n"/>
      <c r="J331" s="16">
        <f>IF(OR(G331="",I331="",L331="Sim"),"",I331+VLOOKUP(G331,$M$3:$N$7,2,FALSE))</f>
        <v/>
      </c>
      <c r="K331" s="17">
        <f>IF(L331="Sim","Perdido",IF(J331="","",IF(J331&lt;TODAY(),"ATRASADO",IF(J331=TODAY(),"Hoje","Em dia"))))</f>
        <v/>
      </c>
      <c r="L331" s="14" t="n"/>
      <c r="M331" s="14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5">
        <f>IF(G332="","",CHOOSE(G332,"Lead","Atendimento","Visita","Proposta","Venda"))</f>
        <v/>
      </c>
      <c r="I332" s="13" t="n"/>
      <c r="J332" s="16">
        <f>IF(OR(G332="",I332="",L332="Sim"),"",I332+VLOOKUP(G332,$M$3:$N$7,2,FALSE))</f>
        <v/>
      </c>
      <c r="K332" s="17">
        <f>IF(L332="Sim","Perdido",IF(J332="","",IF(J332&lt;TODAY(),"ATRASADO",IF(J332=TODAY(),"Hoje","Em dia"))))</f>
        <v/>
      </c>
      <c r="L332" s="14" t="n"/>
      <c r="M332" s="14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5">
        <f>IF(G333="","",CHOOSE(G333,"Lead","Atendimento","Visita","Proposta","Venda"))</f>
        <v/>
      </c>
      <c r="I333" s="13" t="n"/>
      <c r="J333" s="16">
        <f>IF(OR(G333="",I333="",L333="Sim"),"",I333+VLOOKUP(G333,$M$3:$N$7,2,FALSE))</f>
        <v/>
      </c>
      <c r="K333" s="17">
        <f>IF(L333="Sim","Perdido",IF(J333="","",IF(J333&lt;TODAY(),"ATRASADO",IF(J333=TODAY(),"Hoje","Em dia"))))</f>
        <v/>
      </c>
      <c r="L333" s="14" t="n"/>
      <c r="M333" s="14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5">
        <f>IF(G334="","",CHOOSE(G334,"Lead","Atendimento","Visita","Proposta","Venda"))</f>
        <v/>
      </c>
      <c r="I334" s="13" t="n"/>
      <c r="J334" s="16">
        <f>IF(OR(G334="",I334="",L334="Sim"),"",I334+VLOOKUP(G334,$M$3:$N$7,2,FALSE))</f>
        <v/>
      </c>
      <c r="K334" s="17">
        <f>IF(L334="Sim","Perdido",IF(J334="","",IF(J334&lt;TODAY(),"ATRASADO",IF(J334=TODAY(),"Hoje","Em dia"))))</f>
        <v/>
      </c>
      <c r="L334" s="14" t="n"/>
      <c r="M334" s="14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5">
        <f>IF(G335="","",CHOOSE(G335,"Lead","Atendimento","Visita","Proposta","Venda"))</f>
        <v/>
      </c>
      <c r="I335" s="13" t="n"/>
      <c r="J335" s="16">
        <f>IF(OR(G335="",I335="",L335="Sim"),"",I335+VLOOKUP(G335,$M$3:$N$7,2,FALSE))</f>
        <v/>
      </c>
      <c r="K335" s="17">
        <f>IF(L335="Sim","Perdido",IF(J335="","",IF(J335&lt;TODAY(),"ATRASADO",IF(J335=TODAY(),"Hoje","Em dia"))))</f>
        <v/>
      </c>
      <c r="L335" s="14" t="n"/>
      <c r="M335" s="14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5">
        <f>IF(G336="","",CHOOSE(G336,"Lead","Atendimento","Visita","Proposta","Venda"))</f>
        <v/>
      </c>
      <c r="I336" s="13" t="n"/>
      <c r="J336" s="16">
        <f>IF(OR(G336="",I336="",L336="Sim"),"",I336+VLOOKUP(G336,$M$3:$N$7,2,FALSE))</f>
        <v/>
      </c>
      <c r="K336" s="17">
        <f>IF(L336="Sim","Perdido",IF(J336="","",IF(J336&lt;TODAY(),"ATRASADO",IF(J336=TODAY(),"Hoje","Em dia"))))</f>
        <v/>
      </c>
      <c r="L336" s="14" t="n"/>
      <c r="M336" s="14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5">
        <f>IF(G337="","",CHOOSE(G337,"Lead","Atendimento","Visita","Proposta","Venda"))</f>
        <v/>
      </c>
      <c r="I337" s="13" t="n"/>
      <c r="J337" s="16">
        <f>IF(OR(G337="",I337="",L337="Sim"),"",I337+VLOOKUP(G337,$M$3:$N$7,2,FALSE))</f>
        <v/>
      </c>
      <c r="K337" s="17">
        <f>IF(L337="Sim","Perdido",IF(J337="","",IF(J337&lt;TODAY(),"ATRASADO",IF(J337=TODAY(),"Hoje","Em dia"))))</f>
        <v/>
      </c>
      <c r="L337" s="14" t="n"/>
      <c r="M337" s="14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5">
        <f>IF(G338="","",CHOOSE(G338,"Lead","Atendimento","Visita","Proposta","Venda"))</f>
        <v/>
      </c>
      <c r="I338" s="13" t="n"/>
      <c r="J338" s="16">
        <f>IF(OR(G338="",I338="",L338="Sim"),"",I338+VLOOKUP(G338,$M$3:$N$7,2,FALSE))</f>
        <v/>
      </c>
      <c r="K338" s="17">
        <f>IF(L338="Sim","Perdido",IF(J338="","",IF(J338&lt;TODAY(),"ATRASADO",IF(J338=TODAY(),"Hoje","Em dia"))))</f>
        <v/>
      </c>
      <c r="L338" s="14" t="n"/>
      <c r="M338" s="14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5">
        <f>IF(G339="","",CHOOSE(G339,"Lead","Atendimento","Visita","Proposta","Venda"))</f>
        <v/>
      </c>
      <c r="I339" s="13" t="n"/>
      <c r="J339" s="16">
        <f>IF(OR(G339="",I339="",L339="Sim"),"",I339+VLOOKUP(G339,$M$3:$N$7,2,FALSE))</f>
        <v/>
      </c>
      <c r="K339" s="17">
        <f>IF(L339="Sim","Perdido",IF(J339="","",IF(J339&lt;TODAY(),"ATRASADO",IF(J339=TODAY(),"Hoje","Em dia"))))</f>
        <v/>
      </c>
      <c r="L339" s="14" t="n"/>
      <c r="M339" s="14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5">
        <f>IF(G340="","",CHOOSE(G340,"Lead","Atendimento","Visita","Proposta","Venda"))</f>
        <v/>
      </c>
      <c r="I340" s="13" t="n"/>
      <c r="J340" s="16">
        <f>IF(OR(G340="",I340="",L340="Sim"),"",I340+VLOOKUP(G340,$M$3:$N$7,2,FALSE))</f>
        <v/>
      </c>
      <c r="K340" s="17">
        <f>IF(L340="Sim","Perdido",IF(J340="","",IF(J340&lt;TODAY(),"ATRASADO",IF(J340=TODAY(),"Hoje","Em dia"))))</f>
        <v/>
      </c>
      <c r="L340" s="14" t="n"/>
      <c r="M340" s="14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5">
        <f>IF(G341="","",CHOOSE(G341,"Lead","Atendimento","Visita","Proposta","Venda"))</f>
        <v/>
      </c>
      <c r="I341" s="13" t="n"/>
      <c r="J341" s="16">
        <f>IF(OR(G341="",I341="",L341="Sim"),"",I341+VLOOKUP(G341,$M$3:$N$7,2,FALSE))</f>
        <v/>
      </c>
      <c r="K341" s="17">
        <f>IF(L341="Sim","Perdido",IF(J341="","",IF(J341&lt;TODAY(),"ATRASADO",IF(J341=TODAY(),"Hoje","Em dia"))))</f>
        <v/>
      </c>
      <c r="L341" s="14" t="n"/>
      <c r="M341" s="14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5">
        <f>IF(G342="","",CHOOSE(G342,"Lead","Atendimento","Visita","Proposta","Venda"))</f>
        <v/>
      </c>
      <c r="I342" s="13" t="n"/>
      <c r="J342" s="16">
        <f>IF(OR(G342="",I342="",L342="Sim"),"",I342+VLOOKUP(G342,$M$3:$N$7,2,FALSE))</f>
        <v/>
      </c>
      <c r="K342" s="17">
        <f>IF(L342="Sim","Perdido",IF(J342="","",IF(J342&lt;TODAY(),"ATRASADO",IF(J342=TODAY(),"Hoje","Em dia"))))</f>
        <v/>
      </c>
      <c r="L342" s="14" t="n"/>
      <c r="M342" s="14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5">
        <f>IF(G343="","",CHOOSE(G343,"Lead","Atendimento","Visita","Proposta","Venda"))</f>
        <v/>
      </c>
      <c r="I343" s="13" t="n"/>
      <c r="J343" s="16">
        <f>IF(OR(G343="",I343="",L343="Sim"),"",I343+VLOOKUP(G343,$M$3:$N$7,2,FALSE))</f>
        <v/>
      </c>
      <c r="K343" s="17">
        <f>IF(L343="Sim","Perdido",IF(J343="","",IF(J343&lt;TODAY(),"ATRASADO",IF(J343=TODAY(),"Hoje","Em dia"))))</f>
        <v/>
      </c>
      <c r="L343" s="14" t="n"/>
      <c r="M343" s="14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5">
        <f>IF(G344="","",CHOOSE(G344,"Lead","Atendimento","Visita","Proposta","Venda"))</f>
        <v/>
      </c>
      <c r="I344" s="13" t="n"/>
      <c r="J344" s="16">
        <f>IF(OR(G344="",I344="",L344="Sim"),"",I344+VLOOKUP(G344,$M$3:$N$7,2,FALSE))</f>
        <v/>
      </c>
      <c r="K344" s="17">
        <f>IF(L344="Sim","Perdido",IF(J344="","",IF(J344&lt;TODAY(),"ATRASADO",IF(J344=TODAY(),"Hoje","Em dia"))))</f>
        <v/>
      </c>
      <c r="L344" s="14" t="n"/>
      <c r="M344" s="14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5">
        <f>IF(G345="","",CHOOSE(G345,"Lead","Atendimento","Visita","Proposta","Venda"))</f>
        <v/>
      </c>
      <c r="I345" s="13" t="n"/>
      <c r="J345" s="16">
        <f>IF(OR(G345="",I345="",L345="Sim"),"",I345+VLOOKUP(G345,$M$3:$N$7,2,FALSE))</f>
        <v/>
      </c>
      <c r="K345" s="17">
        <f>IF(L345="Sim","Perdido",IF(J345="","",IF(J345&lt;TODAY(),"ATRASADO",IF(J345=TODAY(),"Hoje","Em dia"))))</f>
        <v/>
      </c>
      <c r="L345" s="14" t="n"/>
      <c r="M345" s="14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5">
        <f>IF(G346="","",CHOOSE(G346,"Lead","Atendimento","Visita","Proposta","Venda"))</f>
        <v/>
      </c>
      <c r="I346" s="13" t="n"/>
      <c r="J346" s="16">
        <f>IF(OR(G346="",I346="",L346="Sim"),"",I346+VLOOKUP(G346,$M$3:$N$7,2,FALSE))</f>
        <v/>
      </c>
      <c r="K346" s="17">
        <f>IF(L346="Sim","Perdido",IF(J346="","",IF(J346&lt;TODAY(),"ATRASADO",IF(J346=TODAY(),"Hoje","Em dia"))))</f>
        <v/>
      </c>
      <c r="L346" s="14" t="n"/>
      <c r="M346" s="14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5">
        <f>IF(G347="","",CHOOSE(G347,"Lead","Atendimento","Visita","Proposta","Venda"))</f>
        <v/>
      </c>
      <c r="I347" s="13" t="n"/>
      <c r="J347" s="16">
        <f>IF(OR(G347="",I347="",L347="Sim"),"",I347+VLOOKUP(G347,$M$3:$N$7,2,FALSE))</f>
        <v/>
      </c>
      <c r="K347" s="17">
        <f>IF(L347="Sim","Perdido",IF(J347="","",IF(J347&lt;TODAY(),"ATRASADO",IF(J347=TODAY(),"Hoje","Em dia"))))</f>
        <v/>
      </c>
      <c r="L347" s="14" t="n"/>
      <c r="M347" s="14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5">
        <f>IF(G348="","",CHOOSE(G348,"Lead","Atendimento","Visita","Proposta","Venda"))</f>
        <v/>
      </c>
      <c r="I348" s="13" t="n"/>
      <c r="J348" s="16">
        <f>IF(OR(G348="",I348="",L348="Sim"),"",I348+VLOOKUP(G348,$M$3:$N$7,2,FALSE))</f>
        <v/>
      </c>
      <c r="K348" s="17">
        <f>IF(L348="Sim","Perdido",IF(J348="","",IF(J348&lt;TODAY(),"ATRASADO",IF(J348=TODAY(),"Hoje","Em dia"))))</f>
        <v/>
      </c>
      <c r="L348" s="14" t="n"/>
      <c r="M348" s="14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5">
        <f>IF(G349="","",CHOOSE(G349,"Lead","Atendimento","Visita","Proposta","Venda"))</f>
        <v/>
      </c>
      <c r="I349" s="13" t="n"/>
      <c r="J349" s="16">
        <f>IF(OR(G349="",I349="",L349="Sim"),"",I349+VLOOKUP(G349,$M$3:$N$7,2,FALSE))</f>
        <v/>
      </c>
      <c r="K349" s="17">
        <f>IF(L349="Sim","Perdido",IF(J349="","",IF(J349&lt;TODAY(),"ATRASADO",IF(J349=TODAY(),"Hoje","Em dia"))))</f>
        <v/>
      </c>
      <c r="L349" s="14" t="n"/>
      <c r="M349" s="14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5">
        <f>IF(G350="","",CHOOSE(G350,"Lead","Atendimento","Visita","Proposta","Venda"))</f>
        <v/>
      </c>
      <c r="I350" s="13" t="n"/>
      <c r="J350" s="16">
        <f>IF(OR(G350="",I350="",L350="Sim"),"",I350+VLOOKUP(G350,$M$3:$N$7,2,FALSE))</f>
        <v/>
      </c>
      <c r="K350" s="17">
        <f>IF(L350="Sim","Perdido",IF(J350="","",IF(J350&lt;TODAY(),"ATRASADO",IF(J350=TODAY(),"Hoje","Em dia"))))</f>
        <v/>
      </c>
      <c r="L350" s="14" t="n"/>
      <c r="M350" s="14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5">
        <f>IF(G351="","",CHOOSE(G351,"Lead","Atendimento","Visita","Proposta","Venda"))</f>
        <v/>
      </c>
      <c r="I351" s="13" t="n"/>
      <c r="J351" s="16">
        <f>IF(OR(G351="",I351="",L351="Sim"),"",I351+VLOOKUP(G351,$M$3:$N$7,2,FALSE))</f>
        <v/>
      </c>
      <c r="K351" s="17">
        <f>IF(L351="Sim","Perdido",IF(J351="","",IF(J351&lt;TODAY(),"ATRASADO",IF(J351=TODAY(),"Hoje","Em dia"))))</f>
        <v/>
      </c>
      <c r="L351" s="14" t="n"/>
      <c r="M351" s="14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5">
        <f>IF(G352="","",CHOOSE(G352,"Lead","Atendimento","Visita","Proposta","Venda"))</f>
        <v/>
      </c>
      <c r="I352" s="13" t="n"/>
      <c r="J352" s="16">
        <f>IF(OR(G352="",I352="",L352="Sim"),"",I352+VLOOKUP(G352,$M$3:$N$7,2,FALSE))</f>
        <v/>
      </c>
      <c r="K352" s="17">
        <f>IF(L352="Sim","Perdido",IF(J352="","",IF(J352&lt;TODAY(),"ATRASADO",IF(J352=TODAY(),"Hoje","Em dia"))))</f>
        <v/>
      </c>
      <c r="L352" s="14" t="n"/>
      <c r="M352" s="14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5">
        <f>IF(G353="","",CHOOSE(G353,"Lead","Atendimento","Visita","Proposta","Venda"))</f>
        <v/>
      </c>
      <c r="I353" s="13" t="n"/>
      <c r="J353" s="16">
        <f>IF(OR(G353="",I353="",L353="Sim"),"",I353+VLOOKUP(G353,$M$3:$N$7,2,FALSE))</f>
        <v/>
      </c>
      <c r="K353" s="17">
        <f>IF(L353="Sim","Perdido",IF(J353="","",IF(J353&lt;TODAY(),"ATRASADO",IF(J353=TODAY(),"Hoje","Em dia"))))</f>
        <v/>
      </c>
      <c r="L353" s="14" t="n"/>
      <c r="M353" s="14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5">
        <f>IF(G354="","",CHOOSE(G354,"Lead","Atendimento","Visita","Proposta","Venda"))</f>
        <v/>
      </c>
      <c r="I354" s="13" t="n"/>
      <c r="J354" s="16">
        <f>IF(OR(G354="",I354="",L354="Sim"),"",I354+VLOOKUP(G354,$M$3:$N$7,2,FALSE))</f>
        <v/>
      </c>
      <c r="K354" s="17">
        <f>IF(L354="Sim","Perdido",IF(J354="","",IF(J354&lt;TODAY(),"ATRASADO",IF(J354=TODAY(),"Hoje","Em dia"))))</f>
        <v/>
      </c>
      <c r="L354" s="14" t="n"/>
      <c r="M354" s="14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5">
        <f>IF(G355="","",CHOOSE(G355,"Lead","Atendimento","Visita","Proposta","Venda"))</f>
        <v/>
      </c>
      <c r="I355" s="13" t="n"/>
      <c r="J355" s="16">
        <f>IF(OR(G355="",I355="",L355="Sim"),"",I355+VLOOKUP(G355,$M$3:$N$7,2,FALSE))</f>
        <v/>
      </c>
      <c r="K355" s="17">
        <f>IF(L355="Sim","Perdido",IF(J355="","",IF(J355&lt;TODAY(),"ATRASADO",IF(J355=TODAY(),"Hoje","Em dia"))))</f>
        <v/>
      </c>
      <c r="L355" s="14" t="n"/>
      <c r="M355" s="14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5">
        <f>IF(G356="","",CHOOSE(G356,"Lead","Atendimento","Visita","Proposta","Venda"))</f>
        <v/>
      </c>
      <c r="I356" s="13" t="n"/>
      <c r="J356" s="16">
        <f>IF(OR(G356="",I356="",L356="Sim"),"",I356+VLOOKUP(G356,$M$3:$N$7,2,FALSE))</f>
        <v/>
      </c>
      <c r="K356" s="17">
        <f>IF(L356="Sim","Perdido",IF(J356="","",IF(J356&lt;TODAY(),"ATRASADO",IF(J356=TODAY(),"Hoje","Em dia"))))</f>
        <v/>
      </c>
      <c r="L356" s="14" t="n"/>
      <c r="M356" s="14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5">
        <f>IF(G357="","",CHOOSE(G357,"Lead","Atendimento","Visita","Proposta","Venda"))</f>
        <v/>
      </c>
      <c r="I357" s="13" t="n"/>
      <c r="J357" s="16">
        <f>IF(OR(G357="",I357="",L357="Sim"),"",I357+VLOOKUP(G357,$M$3:$N$7,2,FALSE))</f>
        <v/>
      </c>
      <c r="K357" s="17">
        <f>IF(L357="Sim","Perdido",IF(J357="","",IF(J357&lt;TODAY(),"ATRASADO",IF(J357=TODAY(),"Hoje","Em dia"))))</f>
        <v/>
      </c>
      <c r="L357" s="14" t="n"/>
      <c r="M357" s="14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5">
        <f>IF(G358="","",CHOOSE(G358,"Lead","Atendimento","Visita","Proposta","Venda"))</f>
        <v/>
      </c>
      <c r="I358" s="13" t="n"/>
      <c r="J358" s="16">
        <f>IF(OR(G358="",I358="",L358="Sim"),"",I358+VLOOKUP(G358,$M$3:$N$7,2,FALSE))</f>
        <v/>
      </c>
      <c r="K358" s="17">
        <f>IF(L358="Sim","Perdido",IF(J358="","",IF(J358&lt;TODAY(),"ATRASADO",IF(J358=TODAY(),"Hoje","Em dia"))))</f>
        <v/>
      </c>
      <c r="L358" s="14" t="n"/>
      <c r="M358" s="14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5">
        <f>IF(G359="","",CHOOSE(G359,"Lead","Atendimento","Visita","Proposta","Venda"))</f>
        <v/>
      </c>
      <c r="I359" s="13" t="n"/>
      <c r="J359" s="16">
        <f>IF(OR(G359="",I359="",L359="Sim"),"",I359+VLOOKUP(G359,$M$3:$N$7,2,FALSE))</f>
        <v/>
      </c>
      <c r="K359" s="17">
        <f>IF(L359="Sim","Perdido",IF(J359="","",IF(J359&lt;TODAY(),"ATRASADO",IF(J359=TODAY(),"Hoje","Em dia"))))</f>
        <v/>
      </c>
      <c r="L359" s="14" t="n"/>
      <c r="M359" s="14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5">
        <f>IF(G360="","",CHOOSE(G360,"Lead","Atendimento","Visita","Proposta","Venda"))</f>
        <v/>
      </c>
      <c r="I360" s="13" t="n"/>
      <c r="J360" s="16">
        <f>IF(OR(G360="",I360="",L360="Sim"),"",I360+VLOOKUP(G360,$M$3:$N$7,2,FALSE))</f>
        <v/>
      </c>
      <c r="K360" s="17">
        <f>IF(L360="Sim","Perdido",IF(J360="","",IF(J360&lt;TODAY(),"ATRASADO",IF(J360=TODAY(),"Hoje","Em dia"))))</f>
        <v/>
      </c>
      <c r="L360" s="14" t="n"/>
      <c r="M360" s="14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5">
        <f>IF(G361="","",CHOOSE(G361,"Lead","Atendimento","Visita","Proposta","Venda"))</f>
        <v/>
      </c>
      <c r="I361" s="13" t="n"/>
      <c r="J361" s="16">
        <f>IF(OR(G361="",I361="",L361="Sim"),"",I361+VLOOKUP(G361,$M$3:$N$7,2,FALSE))</f>
        <v/>
      </c>
      <c r="K361" s="17">
        <f>IF(L361="Sim","Perdido",IF(J361="","",IF(J361&lt;TODAY(),"ATRASADO",IF(J361=TODAY(),"Hoje","Em dia"))))</f>
        <v/>
      </c>
      <c r="L361" s="14" t="n"/>
      <c r="M361" s="14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5">
        <f>IF(G362="","",CHOOSE(G362,"Lead","Atendimento","Visita","Proposta","Venda"))</f>
        <v/>
      </c>
      <c r="I362" s="13" t="n"/>
      <c r="J362" s="16">
        <f>IF(OR(G362="",I362="",L362="Sim"),"",I362+VLOOKUP(G362,$M$3:$N$7,2,FALSE))</f>
        <v/>
      </c>
      <c r="K362" s="17">
        <f>IF(L362="Sim","Perdido",IF(J362="","",IF(J362&lt;TODAY(),"ATRASADO",IF(J362=TODAY(),"Hoje","Em dia"))))</f>
        <v/>
      </c>
      <c r="L362" s="14" t="n"/>
      <c r="M362" s="14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5">
        <f>IF(G363="","",CHOOSE(G363,"Lead","Atendimento","Visita","Proposta","Venda"))</f>
        <v/>
      </c>
      <c r="I363" s="13" t="n"/>
      <c r="J363" s="16">
        <f>IF(OR(G363="",I363="",L363="Sim"),"",I363+VLOOKUP(G363,$M$3:$N$7,2,FALSE))</f>
        <v/>
      </c>
      <c r="K363" s="17">
        <f>IF(L363="Sim","Perdido",IF(J363="","",IF(J363&lt;TODAY(),"ATRASADO",IF(J363=TODAY(),"Hoje","Em dia"))))</f>
        <v/>
      </c>
      <c r="L363" s="14" t="n"/>
      <c r="M363" s="14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5">
        <f>IF(G364="","",CHOOSE(G364,"Lead","Atendimento","Visita","Proposta","Venda"))</f>
        <v/>
      </c>
      <c r="I364" s="13" t="n"/>
      <c r="J364" s="16">
        <f>IF(OR(G364="",I364="",L364="Sim"),"",I364+VLOOKUP(G364,$M$3:$N$7,2,FALSE))</f>
        <v/>
      </c>
      <c r="K364" s="17">
        <f>IF(L364="Sim","Perdido",IF(J364="","",IF(J364&lt;TODAY(),"ATRASADO",IF(J364=TODAY(),"Hoje","Em dia"))))</f>
        <v/>
      </c>
      <c r="L364" s="14" t="n"/>
      <c r="M364" s="14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5">
        <f>IF(G365="","",CHOOSE(G365,"Lead","Atendimento","Visita","Proposta","Venda"))</f>
        <v/>
      </c>
      <c r="I365" s="13" t="n"/>
      <c r="J365" s="16">
        <f>IF(OR(G365="",I365="",L365="Sim"),"",I365+VLOOKUP(G365,$M$3:$N$7,2,FALSE))</f>
        <v/>
      </c>
      <c r="K365" s="17">
        <f>IF(L365="Sim","Perdido",IF(J365="","",IF(J365&lt;TODAY(),"ATRASADO",IF(J365=TODAY(),"Hoje","Em dia"))))</f>
        <v/>
      </c>
      <c r="L365" s="14" t="n"/>
      <c r="M365" s="14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5">
        <f>IF(G366="","",CHOOSE(G366,"Lead","Atendimento","Visita","Proposta","Venda"))</f>
        <v/>
      </c>
      <c r="I366" s="13" t="n"/>
      <c r="J366" s="16">
        <f>IF(OR(G366="",I366="",L366="Sim"),"",I366+VLOOKUP(G366,$M$3:$N$7,2,FALSE))</f>
        <v/>
      </c>
      <c r="K366" s="17">
        <f>IF(L366="Sim","Perdido",IF(J366="","",IF(J366&lt;TODAY(),"ATRASADO",IF(J366=TODAY(),"Hoje","Em dia"))))</f>
        <v/>
      </c>
      <c r="L366" s="14" t="n"/>
      <c r="M366" s="14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5">
        <f>IF(G367="","",CHOOSE(G367,"Lead","Atendimento","Visita","Proposta","Venda"))</f>
        <v/>
      </c>
      <c r="I367" s="13" t="n"/>
      <c r="J367" s="16">
        <f>IF(OR(G367="",I367="",L367="Sim"),"",I367+VLOOKUP(G367,$M$3:$N$7,2,FALSE))</f>
        <v/>
      </c>
      <c r="K367" s="17">
        <f>IF(L367="Sim","Perdido",IF(J367="","",IF(J367&lt;TODAY(),"ATRASADO",IF(J367=TODAY(),"Hoje","Em dia"))))</f>
        <v/>
      </c>
      <c r="L367" s="14" t="n"/>
      <c r="M367" s="14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5">
        <f>IF(G368="","",CHOOSE(G368,"Lead","Atendimento","Visita","Proposta","Venda"))</f>
        <v/>
      </c>
      <c r="I368" s="13" t="n"/>
      <c r="J368" s="16">
        <f>IF(OR(G368="",I368="",L368="Sim"),"",I368+VLOOKUP(G368,$M$3:$N$7,2,FALSE))</f>
        <v/>
      </c>
      <c r="K368" s="17">
        <f>IF(L368="Sim","Perdido",IF(J368="","",IF(J368&lt;TODAY(),"ATRASADO",IF(J368=TODAY(),"Hoje","Em dia"))))</f>
        <v/>
      </c>
      <c r="L368" s="14" t="n"/>
      <c r="M368" s="14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5">
        <f>IF(G369="","",CHOOSE(G369,"Lead","Atendimento","Visita","Proposta","Venda"))</f>
        <v/>
      </c>
      <c r="I369" s="13" t="n"/>
      <c r="J369" s="16">
        <f>IF(OR(G369="",I369="",L369="Sim"),"",I369+VLOOKUP(G369,$M$3:$N$7,2,FALSE))</f>
        <v/>
      </c>
      <c r="K369" s="17">
        <f>IF(L369="Sim","Perdido",IF(J369="","",IF(J369&lt;TODAY(),"ATRASADO",IF(J369=TODAY(),"Hoje","Em dia"))))</f>
        <v/>
      </c>
      <c r="L369" s="14" t="n"/>
      <c r="M369" s="14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5">
        <f>IF(G370="","",CHOOSE(G370,"Lead","Atendimento","Visita","Proposta","Venda"))</f>
        <v/>
      </c>
      <c r="I370" s="13" t="n"/>
      <c r="J370" s="16">
        <f>IF(OR(G370="",I370="",L370="Sim"),"",I370+VLOOKUP(G370,$M$3:$N$7,2,FALSE))</f>
        <v/>
      </c>
      <c r="K370" s="17">
        <f>IF(L370="Sim","Perdido",IF(J370="","",IF(J370&lt;TODAY(),"ATRASADO",IF(J370=TODAY(),"Hoje","Em dia"))))</f>
        <v/>
      </c>
      <c r="L370" s="14" t="n"/>
      <c r="M370" s="14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5">
        <f>IF(G371="","",CHOOSE(G371,"Lead","Atendimento","Visita","Proposta","Venda"))</f>
        <v/>
      </c>
      <c r="I371" s="13" t="n"/>
      <c r="J371" s="16">
        <f>IF(OR(G371="",I371="",L371="Sim"),"",I371+VLOOKUP(G371,$M$3:$N$7,2,FALSE))</f>
        <v/>
      </c>
      <c r="K371" s="17">
        <f>IF(L371="Sim","Perdido",IF(J371="","",IF(J371&lt;TODAY(),"ATRASADO",IF(J371=TODAY(),"Hoje","Em dia"))))</f>
        <v/>
      </c>
      <c r="L371" s="14" t="n"/>
      <c r="M371" s="14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5">
        <f>IF(G372="","",CHOOSE(G372,"Lead","Atendimento","Visita","Proposta","Venda"))</f>
        <v/>
      </c>
      <c r="I372" s="13" t="n"/>
      <c r="J372" s="16">
        <f>IF(OR(G372="",I372="",L372="Sim"),"",I372+VLOOKUP(G372,$M$3:$N$7,2,FALSE))</f>
        <v/>
      </c>
      <c r="K372" s="17">
        <f>IF(L372="Sim","Perdido",IF(J372="","",IF(J372&lt;TODAY(),"ATRASADO",IF(J372=TODAY(),"Hoje","Em dia"))))</f>
        <v/>
      </c>
      <c r="L372" s="14" t="n"/>
      <c r="M372" s="14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5">
        <f>IF(G373="","",CHOOSE(G373,"Lead","Atendimento","Visita","Proposta","Venda"))</f>
        <v/>
      </c>
      <c r="I373" s="13" t="n"/>
      <c r="J373" s="16">
        <f>IF(OR(G373="",I373="",L373="Sim"),"",I373+VLOOKUP(G373,$M$3:$N$7,2,FALSE))</f>
        <v/>
      </c>
      <c r="K373" s="17">
        <f>IF(L373="Sim","Perdido",IF(J373="","",IF(J373&lt;TODAY(),"ATRASADO",IF(J373=TODAY(),"Hoje","Em dia"))))</f>
        <v/>
      </c>
      <c r="L373" s="14" t="n"/>
      <c r="M373" s="14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5">
        <f>IF(G374="","",CHOOSE(G374,"Lead","Atendimento","Visita","Proposta","Venda"))</f>
        <v/>
      </c>
      <c r="I374" s="13" t="n"/>
      <c r="J374" s="16">
        <f>IF(OR(G374="",I374="",L374="Sim"),"",I374+VLOOKUP(G374,$M$3:$N$7,2,FALSE))</f>
        <v/>
      </c>
      <c r="K374" s="17">
        <f>IF(L374="Sim","Perdido",IF(J374="","",IF(J374&lt;TODAY(),"ATRASADO",IF(J374=TODAY(),"Hoje","Em dia"))))</f>
        <v/>
      </c>
      <c r="L374" s="14" t="n"/>
      <c r="M374" s="14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5">
        <f>IF(G375="","",CHOOSE(G375,"Lead","Atendimento","Visita","Proposta","Venda"))</f>
        <v/>
      </c>
      <c r="I375" s="13" t="n"/>
      <c r="J375" s="16">
        <f>IF(OR(G375="",I375="",L375="Sim"),"",I375+VLOOKUP(G375,$M$3:$N$7,2,FALSE))</f>
        <v/>
      </c>
      <c r="K375" s="17">
        <f>IF(L375="Sim","Perdido",IF(J375="","",IF(J375&lt;TODAY(),"ATRASADO",IF(J375=TODAY(),"Hoje","Em dia"))))</f>
        <v/>
      </c>
      <c r="L375" s="14" t="n"/>
      <c r="M375" s="14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5">
        <f>IF(G376="","",CHOOSE(G376,"Lead","Atendimento","Visita","Proposta","Venda"))</f>
        <v/>
      </c>
      <c r="I376" s="13" t="n"/>
      <c r="J376" s="16">
        <f>IF(OR(G376="",I376="",L376="Sim"),"",I376+VLOOKUP(G376,$M$3:$N$7,2,FALSE))</f>
        <v/>
      </c>
      <c r="K376" s="17">
        <f>IF(L376="Sim","Perdido",IF(J376="","",IF(J376&lt;TODAY(),"ATRASADO",IF(J376=TODAY(),"Hoje","Em dia"))))</f>
        <v/>
      </c>
      <c r="L376" s="14" t="n"/>
      <c r="M376" s="14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5">
        <f>IF(G377="","",CHOOSE(G377,"Lead","Atendimento","Visita","Proposta","Venda"))</f>
        <v/>
      </c>
      <c r="I377" s="13" t="n"/>
      <c r="J377" s="16">
        <f>IF(OR(G377="",I377="",L377="Sim"),"",I377+VLOOKUP(G377,$M$3:$N$7,2,FALSE))</f>
        <v/>
      </c>
      <c r="K377" s="17">
        <f>IF(L377="Sim","Perdido",IF(J377="","",IF(J377&lt;TODAY(),"ATRASADO",IF(J377=TODAY(),"Hoje","Em dia"))))</f>
        <v/>
      </c>
      <c r="L377" s="14" t="n"/>
      <c r="M377" s="14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5">
        <f>IF(G378="","",CHOOSE(G378,"Lead","Atendimento","Visita","Proposta","Venda"))</f>
        <v/>
      </c>
      <c r="I378" s="13" t="n"/>
      <c r="J378" s="16">
        <f>IF(OR(G378="",I378="",L378="Sim"),"",I378+VLOOKUP(G378,$M$3:$N$7,2,FALSE))</f>
        <v/>
      </c>
      <c r="K378" s="17">
        <f>IF(L378="Sim","Perdido",IF(J378="","",IF(J378&lt;TODAY(),"ATRASADO",IF(J378=TODAY(),"Hoje","Em dia"))))</f>
        <v/>
      </c>
      <c r="L378" s="14" t="n"/>
      <c r="M378" s="14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5">
        <f>IF(G379="","",CHOOSE(G379,"Lead","Atendimento","Visita","Proposta","Venda"))</f>
        <v/>
      </c>
      <c r="I379" s="13" t="n"/>
      <c r="J379" s="16">
        <f>IF(OR(G379="",I379="",L379="Sim"),"",I379+VLOOKUP(G379,$M$3:$N$7,2,FALSE))</f>
        <v/>
      </c>
      <c r="K379" s="17">
        <f>IF(L379="Sim","Perdido",IF(J379="","",IF(J379&lt;TODAY(),"ATRASADO",IF(J379=TODAY(),"Hoje","Em dia"))))</f>
        <v/>
      </c>
      <c r="L379" s="14" t="n"/>
      <c r="M379" s="14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5">
        <f>IF(G380="","",CHOOSE(G380,"Lead","Atendimento","Visita","Proposta","Venda"))</f>
        <v/>
      </c>
      <c r="I380" s="13" t="n"/>
      <c r="J380" s="16">
        <f>IF(OR(G380="",I380="",L380="Sim"),"",I380+VLOOKUP(G380,$M$3:$N$7,2,FALSE))</f>
        <v/>
      </c>
      <c r="K380" s="17">
        <f>IF(L380="Sim","Perdido",IF(J380="","",IF(J380&lt;TODAY(),"ATRASADO",IF(J380=TODAY(),"Hoje","Em dia"))))</f>
        <v/>
      </c>
      <c r="L380" s="14" t="n"/>
      <c r="M380" s="14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5">
        <f>IF(G381="","",CHOOSE(G381,"Lead","Atendimento","Visita","Proposta","Venda"))</f>
        <v/>
      </c>
      <c r="I381" s="13" t="n"/>
      <c r="J381" s="16">
        <f>IF(OR(G381="",I381="",L381="Sim"),"",I381+VLOOKUP(G381,$M$3:$N$7,2,FALSE))</f>
        <v/>
      </c>
      <c r="K381" s="17">
        <f>IF(L381="Sim","Perdido",IF(J381="","",IF(J381&lt;TODAY(),"ATRASADO",IF(J381=TODAY(),"Hoje","Em dia"))))</f>
        <v/>
      </c>
      <c r="L381" s="14" t="n"/>
      <c r="M381" s="14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5">
        <f>IF(G382="","",CHOOSE(G382,"Lead","Atendimento","Visita","Proposta","Venda"))</f>
        <v/>
      </c>
      <c r="I382" s="13" t="n"/>
      <c r="J382" s="16">
        <f>IF(OR(G382="",I382="",L382="Sim"),"",I382+VLOOKUP(G382,$M$3:$N$7,2,FALSE))</f>
        <v/>
      </c>
      <c r="K382" s="17">
        <f>IF(L382="Sim","Perdido",IF(J382="","",IF(J382&lt;TODAY(),"ATRASADO",IF(J382=TODAY(),"Hoje","Em dia"))))</f>
        <v/>
      </c>
      <c r="L382" s="14" t="n"/>
      <c r="M382" s="14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5">
        <f>IF(G383="","",CHOOSE(G383,"Lead","Atendimento","Visita","Proposta","Venda"))</f>
        <v/>
      </c>
      <c r="I383" s="13" t="n"/>
      <c r="J383" s="16">
        <f>IF(OR(G383="",I383="",L383="Sim"),"",I383+VLOOKUP(G383,$M$3:$N$7,2,FALSE))</f>
        <v/>
      </c>
      <c r="K383" s="17">
        <f>IF(L383="Sim","Perdido",IF(J383="","",IF(J383&lt;TODAY(),"ATRASADO",IF(J383=TODAY(),"Hoje","Em dia"))))</f>
        <v/>
      </c>
      <c r="L383" s="14" t="n"/>
      <c r="M383" s="14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5">
        <f>IF(G384="","",CHOOSE(G384,"Lead","Atendimento","Visita","Proposta","Venda"))</f>
        <v/>
      </c>
      <c r="I384" s="13" t="n"/>
      <c r="J384" s="16">
        <f>IF(OR(G384="",I384="",L384="Sim"),"",I384+VLOOKUP(G384,$M$3:$N$7,2,FALSE))</f>
        <v/>
      </c>
      <c r="K384" s="17">
        <f>IF(L384="Sim","Perdido",IF(J384="","",IF(J384&lt;TODAY(),"ATRASADO",IF(J384=TODAY(),"Hoje","Em dia"))))</f>
        <v/>
      </c>
      <c r="L384" s="14" t="n"/>
      <c r="M384" s="14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5">
        <f>IF(G385="","",CHOOSE(G385,"Lead","Atendimento","Visita","Proposta","Venda"))</f>
        <v/>
      </c>
      <c r="I385" s="13" t="n"/>
      <c r="J385" s="16">
        <f>IF(OR(G385="",I385="",L385="Sim"),"",I385+VLOOKUP(G385,$M$3:$N$7,2,FALSE))</f>
        <v/>
      </c>
      <c r="K385" s="17">
        <f>IF(L385="Sim","Perdido",IF(J385="","",IF(J385&lt;TODAY(),"ATRASADO",IF(J385=TODAY(),"Hoje","Em dia"))))</f>
        <v/>
      </c>
      <c r="L385" s="14" t="n"/>
      <c r="M385" s="14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5">
        <f>IF(G386="","",CHOOSE(G386,"Lead","Atendimento","Visita","Proposta","Venda"))</f>
        <v/>
      </c>
      <c r="I386" s="13" t="n"/>
      <c r="J386" s="16">
        <f>IF(OR(G386="",I386="",L386="Sim"),"",I386+VLOOKUP(G386,$M$3:$N$7,2,FALSE))</f>
        <v/>
      </c>
      <c r="K386" s="17">
        <f>IF(L386="Sim","Perdido",IF(J386="","",IF(J386&lt;TODAY(),"ATRASADO",IF(J386=TODAY(),"Hoje","Em dia"))))</f>
        <v/>
      </c>
      <c r="L386" s="14" t="n"/>
      <c r="M386" s="14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5">
        <f>IF(G387="","",CHOOSE(G387,"Lead","Atendimento","Visita","Proposta","Venda"))</f>
        <v/>
      </c>
      <c r="I387" s="13" t="n"/>
      <c r="J387" s="16">
        <f>IF(OR(G387="",I387="",L387="Sim"),"",I387+VLOOKUP(G387,$M$3:$N$7,2,FALSE))</f>
        <v/>
      </c>
      <c r="K387" s="17">
        <f>IF(L387="Sim","Perdido",IF(J387="","",IF(J387&lt;TODAY(),"ATRASADO",IF(J387=TODAY(),"Hoje","Em dia"))))</f>
        <v/>
      </c>
      <c r="L387" s="14" t="n"/>
      <c r="M387" s="14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5">
        <f>IF(G388="","",CHOOSE(G388,"Lead","Atendimento","Visita","Proposta","Venda"))</f>
        <v/>
      </c>
      <c r="I388" s="13" t="n"/>
      <c r="J388" s="16">
        <f>IF(OR(G388="",I388="",L388="Sim"),"",I388+VLOOKUP(G388,$M$3:$N$7,2,FALSE))</f>
        <v/>
      </c>
      <c r="K388" s="17">
        <f>IF(L388="Sim","Perdido",IF(J388="","",IF(J388&lt;TODAY(),"ATRASADO",IF(J388=TODAY(),"Hoje","Em dia"))))</f>
        <v/>
      </c>
      <c r="L388" s="14" t="n"/>
      <c r="M388" s="14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5">
        <f>IF(G389="","",CHOOSE(G389,"Lead","Atendimento","Visita","Proposta","Venda"))</f>
        <v/>
      </c>
      <c r="I389" s="13" t="n"/>
      <c r="J389" s="16">
        <f>IF(OR(G389="",I389="",L389="Sim"),"",I389+VLOOKUP(G389,$M$3:$N$7,2,FALSE))</f>
        <v/>
      </c>
      <c r="K389" s="17">
        <f>IF(L389="Sim","Perdido",IF(J389="","",IF(J389&lt;TODAY(),"ATRASADO",IF(J389=TODAY(),"Hoje","Em dia"))))</f>
        <v/>
      </c>
      <c r="L389" s="14" t="n"/>
      <c r="M389" s="14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5">
        <f>IF(G390="","",CHOOSE(G390,"Lead","Atendimento","Visita","Proposta","Venda"))</f>
        <v/>
      </c>
      <c r="I390" s="13" t="n"/>
      <c r="J390" s="16">
        <f>IF(OR(G390="",I390="",L390="Sim"),"",I390+VLOOKUP(G390,$M$3:$N$7,2,FALSE))</f>
        <v/>
      </c>
      <c r="K390" s="17">
        <f>IF(L390="Sim","Perdido",IF(J390="","",IF(J390&lt;TODAY(),"ATRASADO",IF(J390=TODAY(),"Hoje","Em dia"))))</f>
        <v/>
      </c>
      <c r="L390" s="14" t="n"/>
      <c r="M390" s="14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5">
        <f>IF(G391="","",CHOOSE(G391,"Lead","Atendimento","Visita","Proposta","Venda"))</f>
        <v/>
      </c>
      <c r="I391" s="13" t="n"/>
      <c r="J391" s="16">
        <f>IF(OR(G391="",I391="",L391="Sim"),"",I391+VLOOKUP(G391,$M$3:$N$7,2,FALSE))</f>
        <v/>
      </c>
      <c r="K391" s="17">
        <f>IF(L391="Sim","Perdido",IF(J391="","",IF(J391&lt;TODAY(),"ATRASADO",IF(J391=TODAY(),"Hoje","Em dia"))))</f>
        <v/>
      </c>
      <c r="L391" s="14" t="n"/>
      <c r="M391" s="14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5">
        <f>IF(G392="","",CHOOSE(G392,"Lead","Atendimento","Visita","Proposta","Venda"))</f>
        <v/>
      </c>
      <c r="I392" s="13" t="n"/>
      <c r="J392" s="16">
        <f>IF(OR(G392="",I392="",L392="Sim"),"",I392+VLOOKUP(G392,$M$3:$N$7,2,FALSE))</f>
        <v/>
      </c>
      <c r="K392" s="17">
        <f>IF(L392="Sim","Perdido",IF(J392="","",IF(J392&lt;TODAY(),"ATRASADO",IF(J392=TODAY(),"Hoje","Em dia"))))</f>
        <v/>
      </c>
      <c r="L392" s="14" t="n"/>
      <c r="M392" s="14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5">
        <f>IF(G393="","",CHOOSE(G393,"Lead","Atendimento","Visita","Proposta","Venda"))</f>
        <v/>
      </c>
      <c r="I393" s="13" t="n"/>
      <c r="J393" s="16">
        <f>IF(OR(G393="",I393="",L393="Sim"),"",I393+VLOOKUP(G393,$M$3:$N$7,2,FALSE))</f>
        <v/>
      </c>
      <c r="K393" s="17">
        <f>IF(L393="Sim","Perdido",IF(J393="","",IF(J393&lt;TODAY(),"ATRASADO",IF(J393=TODAY(),"Hoje","Em dia"))))</f>
        <v/>
      </c>
      <c r="L393" s="14" t="n"/>
      <c r="M393" s="14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5">
        <f>IF(G394="","",CHOOSE(G394,"Lead","Atendimento","Visita","Proposta","Venda"))</f>
        <v/>
      </c>
      <c r="I394" s="13" t="n"/>
      <c r="J394" s="16">
        <f>IF(OR(G394="",I394="",L394="Sim"),"",I394+VLOOKUP(G394,$M$3:$N$7,2,FALSE))</f>
        <v/>
      </c>
      <c r="K394" s="17">
        <f>IF(L394="Sim","Perdido",IF(J394="","",IF(J394&lt;TODAY(),"ATRASADO",IF(J394=TODAY(),"Hoje","Em dia"))))</f>
        <v/>
      </c>
      <c r="L394" s="14" t="n"/>
      <c r="M394" s="14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5">
        <f>IF(G395="","",CHOOSE(G395,"Lead","Atendimento","Visita","Proposta","Venda"))</f>
        <v/>
      </c>
      <c r="I395" s="13" t="n"/>
      <c r="J395" s="16">
        <f>IF(OR(G395="",I395="",L395="Sim"),"",I395+VLOOKUP(G395,$M$3:$N$7,2,FALSE))</f>
        <v/>
      </c>
      <c r="K395" s="17">
        <f>IF(L395="Sim","Perdido",IF(J395="","",IF(J395&lt;TODAY(),"ATRASADO",IF(J395=TODAY(),"Hoje","Em dia"))))</f>
        <v/>
      </c>
      <c r="L395" s="14" t="n"/>
      <c r="M395" s="14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5">
        <f>IF(G396="","",CHOOSE(G396,"Lead","Atendimento","Visita","Proposta","Venda"))</f>
        <v/>
      </c>
      <c r="I396" s="13" t="n"/>
      <c r="J396" s="16">
        <f>IF(OR(G396="",I396="",L396="Sim"),"",I396+VLOOKUP(G396,$M$3:$N$7,2,FALSE))</f>
        <v/>
      </c>
      <c r="K396" s="17">
        <f>IF(L396="Sim","Perdido",IF(J396="","",IF(J396&lt;TODAY(),"ATRASADO",IF(J396=TODAY(),"Hoje","Em dia"))))</f>
        <v/>
      </c>
      <c r="L396" s="14" t="n"/>
      <c r="M396" s="14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5">
        <f>IF(G397="","",CHOOSE(G397,"Lead","Atendimento","Visita","Proposta","Venda"))</f>
        <v/>
      </c>
      <c r="I397" s="13" t="n"/>
      <c r="J397" s="16">
        <f>IF(OR(G397="",I397="",L397="Sim"),"",I397+VLOOKUP(G397,$M$3:$N$7,2,FALSE))</f>
        <v/>
      </c>
      <c r="K397" s="17">
        <f>IF(L397="Sim","Perdido",IF(J397="","",IF(J397&lt;TODAY(),"ATRASADO",IF(J397=TODAY(),"Hoje","Em dia"))))</f>
        <v/>
      </c>
      <c r="L397" s="14" t="n"/>
      <c r="M397" s="14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5">
        <f>IF(G398="","",CHOOSE(G398,"Lead","Atendimento","Visita","Proposta","Venda"))</f>
        <v/>
      </c>
      <c r="I398" s="13" t="n"/>
      <c r="J398" s="16">
        <f>IF(OR(G398="",I398="",L398="Sim"),"",I398+VLOOKUP(G398,$M$3:$N$7,2,FALSE))</f>
        <v/>
      </c>
      <c r="K398" s="17">
        <f>IF(L398="Sim","Perdido",IF(J398="","",IF(J398&lt;TODAY(),"ATRASADO",IF(J398=TODAY(),"Hoje","Em dia"))))</f>
        <v/>
      </c>
      <c r="L398" s="14" t="n"/>
      <c r="M398" s="14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5">
        <f>IF(G399="","",CHOOSE(G399,"Lead","Atendimento","Visita","Proposta","Venda"))</f>
        <v/>
      </c>
      <c r="I399" s="13" t="n"/>
      <c r="J399" s="16">
        <f>IF(OR(G399="",I399="",L399="Sim"),"",I399+VLOOKUP(G399,$M$3:$N$7,2,FALSE))</f>
        <v/>
      </c>
      <c r="K399" s="17">
        <f>IF(L399="Sim","Perdido",IF(J399="","",IF(J399&lt;TODAY(),"ATRASADO",IF(J399=TODAY(),"Hoje","Em dia"))))</f>
        <v/>
      </c>
      <c r="L399" s="14" t="n"/>
      <c r="M399" s="14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5">
        <f>IF(G400="","",CHOOSE(G400,"Lead","Atendimento","Visita","Proposta","Venda"))</f>
        <v/>
      </c>
      <c r="I400" s="13" t="n"/>
      <c r="J400" s="16">
        <f>IF(OR(G400="",I400="",L400="Sim"),"",I400+VLOOKUP(G400,$M$3:$N$7,2,FALSE))</f>
        <v/>
      </c>
      <c r="K400" s="17">
        <f>IF(L400="Sim","Perdido",IF(J400="","",IF(J400&lt;TODAY(),"ATRASADO",IF(J400=TODAY(),"Hoje","Em dia"))))</f>
        <v/>
      </c>
      <c r="L400" s="14" t="n"/>
      <c r="M400" s="14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5">
        <f>IF(G401="","",CHOOSE(G401,"Lead","Atendimento","Visita","Proposta","Venda"))</f>
        <v/>
      </c>
      <c r="I401" s="13" t="n"/>
      <c r="J401" s="16">
        <f>IF(OR(G401="",I401="",L401="Sim"),"",I401+VLOOKUP(G401,$M$3:$N$7,2,FALSE))</f>
        <v/>
      </c>
      <c r="K401" s="17">
        <f>IF(L401="Sim","Perdido",IF(J401="","",IF(J401&lt;TODAY(),"ATRASADO",IF(J401=TODAY(),"Hoje","Em dia"))))</f>
        <v/>
      </c>
      <c r="L401" s="14" t="n"/>
      <c r="M401" s="14" t="n"/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5">
        <f>IF(G402="","",CHOOSE(G402,"Lead","Atendimento","Visita","Proposta","Venda"))</f>
        <v/>
      </c>
      <c r="I402" s="13" t="n"/>
      <c r="J402" s="16">
        <f>IF(OR(G402="",I402="",L402="Sim"),"",I402+VLOOKUP(G402,$M$3:$N$7,2,FALSE))</f>
        <v/>
      </c>
      <c r="K402" s="17">
        <f>IF(L402="Sim","Perdido",IF(J402="","",IF(J402&lt;TODAY(),"ATRASADO",IF(J402=TODAY(),"Hoje","Em dia"))))</f>
        <v/>
      </c>
      <c r="L402" s="14" t="n"/>
      <c r="M402" s="14" t="n"/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5">
        <f>IF(G403="","",CHOOSE(G403,"Lead","Atendimento","Visita","Proposta","Venda"))</f>
        <v/>
      </c>
      <c r="I403" s="13" t="n"/>
      <c r="J403" s="16">
        <f>IF(OR(G403="",I403="",L403="Sim"),"",I403+VLOOKUP(G403,$M$3:$N$7,2,FALSE))</f>
        <v/>
      </c>
      <c r="K403" s="17">
        <f>IF(L403="Sim","Perdido",IF(J403="","",IF(J403&lt;TODAY(),"ATRASADO",IF(J403=TODAY(),"Hoje","Em dia"))))</f>
        <v/>
      </c>
      <c r="L403" s="14" t="n"/>
      <c r="M403" s="14" t="n"/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5">
        <f>IF(G404="","",CHOOSE(G404,"Lead","Atendimento","Visita","Proposta","Venda"))</f>
        <v/>
      </c>
      <c r="I404" s="13" t="n"/>
      <c r="J404" s="16">
        <f>IF(OR(G404="",I404="",L404="Sim"),"",I404+VLOOKUP(G404,$M$3:$N$7,2,FALSE))</f>
        <v/>
      </c>
      <c r="K404" s="17">
        <f>IF(L404="Sim","Perdido",IF(J404="","",IF(J404&lt;TODAY(),"ATRASADO",IF(J404=TODAY(),"Hoje","Em dia"))))</f>
        <v/>
      </c>
      <c r="L404" s="14" t="n"/>
      <c r="M404" s="14" t="n"/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5">
        <f>IF(G405="","",CHOOSE(G405,"Lead","Atendimento","Visita","Proposta","Venda"))</f>
        <v/>
      </c>
      <c r="I405" s="13" t="n"/>
      <c r="J405" s="16">
        <f>IF(OR(G405="",I405="",L405="Sim"),"",I405+VLOOKUP(G405,$M$3:$N$7,2,FALSE))</f>
        <v/>
      </c>
      <c r="K405" s="17">
        <f>IF(L405="Sim","Perdido",IF(J405="","",IF(J405&lt;TODAY(),"ATRASADO",IF(J405=TODAY(),"Hoje","Em dia"))))</f>
        <v/>
      </c>
      <c r="L405" s="14" t="n"/>
      <c r="M405" s="14" t="n"/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5">
        <f>IF(G406="","",CHOOSE(G406,"Lead","Atendimento","Visita","Proposta","Venda"))</f>
        <v/>
      </c>
      <c r="I406" s="13" t="n"/>
      <c r="J406" s="16">
        <f>IF(OR(G406="",I406="",L406="Sim"),"",I406+VLOOKUP(G406,$M$3:$N$7,2,FALSE))</f>
        <v/>
      </c>
      <c r="K406" s="17">
        <f>IF(L406="Sim","Perdido",IF(J406="","",IF(J406&lt;TODAY(),"ATRASADO",IF(J406=TODAY(),"Hoje","Em dia"))))</f>
        <v/>
      </c>
      <c r="L406" s="14" t="n"/>
      <c r="M406" s="14" t="n"/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5">
        <f>IF(G407="","",CHOOSE(G407,"Lead","Atendimento","Visita","Proposta","Venda"))</f>
        <v/>
      </c>
      <c r="I407" s="13" t="n"/>
      <c r="J407" s="16">
        <f>IF(OR(G407="",I407="",L407="Sim"),"",I407+VLOOKUP(G407,$M$3:$N$7,2,FALSE))</f>
        <v/>
      </c>
      <c r="K407" s="17">
        <f>IF(L407="Sim","Perdido",IF(J407="","",IF(J407&lt;TODAY(),"ATRASADO",IF(J407=TODAY(),"Hoje","Em dia"))))</f>
        <v/>
      </c>
      <c r="L407" s="14" t="n"/>
      <c r="M407" s="14" t="n"/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5">
        <f>IF(G408="","",CHOOSE(G408,"Lead","Atendimento","Visita","Proposta","Venda"))</f>
        <v/>
      </c>
      <c r="I408" s="13" t="n"/>
      <c r="J408" s="16">
        <f>IF(OR(G408="",I408="",L408="Sim"),"",I408+VLOOKUP(G408,$M$3:$N$7,2,FALSE))</f>
        <v/>
      </c>
      <c r="K408" s="17">
        <f>IF(L408="Sim","Perdido",IF(J408="","",IF(J408&lt;TODAY(),"ATRASADO",IF(J408=TODAY(),"Hoje","Em dia"))))</f>
        <v/>
      </c>
      <c r="L408" s="14" t="n"/>
      <c r="M408" s="14" t="n"/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5">
        <f>IF(G409="","",CHOOSE(G409,"Lead","Atendimento","Visita","Proposta","Venda"))</f>
        <v/>
      </c>
      <c r="I409" s="13" t="n"/>
      <c r="J409" s="16">
        <f>IF(OR(G409="",I409="",L409="Sim"),"",I409+VLOOKUP(G409,$M$3:$N$7,2,FALSE))</f>
        <v/>
      </c>
      <c r="K409" s="17">
        <f>IF(L409="Sim","Perdido",IF(J409="","",IF(J409&lt;TODAY(),"ATRASADO",IF(J409=TODAY(),"Hoje","Em dia"))))</f>
        <v/>
      </c>
      <c r="L409" s="14" t="n"/>
      <c r="M409" s="14" t="n"/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5">
        <f>IF(G410="","",CHOOSE(G410,"Lead","Atendimento","Visita","Proposta","Venda"))</f>
        <v/>
      </c>
      <c r="I410" s="13" t="n"/>
      <c r="J410" s="16">
        <f>IF(OR(G410="",I410="",L410="Sim"),"",I410+VLOOKUP(G410,$M$3:$N$7,2,FALSE))</f>
        <v/>
      </c>
      <c r="K410" s="17">
        <f>IF(L410="Sim","Perdido",IF(J410="","",IF(J410&lt;TODAY(),"ATRASADO",IF(J410=TODAY(),"Hoje","Em dia"))))</f>
        <v/>
      </c>
      <c r="L410" s="14" t="n"/>
      <c r="M410" s="14" t="n"/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5">
        <f>IF(G411="","",CHOOSE(G411,"Lead","Atendimento","Visita","Proposta","Venda"))</f>
        <v/>
      </c>
      <c r="I411" s="13" t="n"/>
      <c r="J411" s="16">
        <f>IF(OR(G411="",I411="",L411="Sim"),"",I411+VLOOKUP(G411,$M$3:$N$7,2,FALSE))</f>
        <v/>
      </c>
      <c r="K411" s="17">
        <f>IF(L411="Sim","Perdido",IF(J411="","",IF(J411&lt;TODAY(),"ATRASADO",IF(J411=TODAY(),"Hoje","Em dia"))))</f>
        <v/>
      </c>
      <c r="L411" s="14" t="n"/>
      <c r="M411" s="14" t="n"/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5">
        <f>IF(G412="","",CHOOSE(G412,"Lead","Atendimento","Visita","Proposta","Venda"))</f>
        <v/>
      </c>
      <c r="I412" s="13" t="n"/>
      <c r="J412" s="16">
        <f>IF(OR(G412="",I412="",L412="Sim"),"",I412+VLOOKUP(G412,$M$3:$N$7,2,FALSE))</f>
        <v/>
      </c>
      <c r="K412" s="17">
        <f>IF(L412="Sim","Perdido",IF(J412="","",IF(J412&lt;TODAY(),"ATRASADO",IF(J412=TODAY(),"Hoje","Em dia"))))</f>
        <v/>
      </c>
      <c r="L412" s="14" t="n"/>
      <c r="M412" s="14" t="n"/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5">
        <f>IF(G413="","",CHOOSE(G413,"Lead","Atendimento","Visita","Proposta","Venda"))</f>
        <v/>
      </c>
      <c r="I413" s="13" t="n"/>
      <c r="J413" s="16">
        <f>IF(OR(G413="",I413="",L413="Sim"),"",I413+VLOOKUP(G413,$M$3:$N$7,2,FALSE))</f>
        <v/>
      </c>
      <c r="K413" s="17">
        <f>IF(L413="Sim","Perdido",IF(J413="","",IF(J413&lt;TODAY(),"ATRASADO",IF(J413=TODAY(),"Hoje","Em dia"))))</f>
        <v/>
      </c>
      <c r="L413" s="14" t="n"/>
      <c r="M413" s="14" t="n"/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5">
        <f>IF(G414="","",CHOOSE(G414,"Lead","Atendimento","Visita","Proposta","Venda"))</f>
        <v/>
      </c>
      <c r="I414" s="13" t="n"/>
      <c r="J414" s="16">
        <f>IF(OR(G414="",I414="",L414="Sim"),"",I414+VLOOKUP(G414,$M$3:$N$7,2,FALSE))</f>
        <v/>
      </c>
      <c r="K414" s="17">
        <f>IF(L414="Sim","Perdido",IF(J414="","",IF(J414&lt;TODAY(),"ATRASADO",IF(J414=TODAY(),"Hoje","Em dia"))))</f>
        <v/>
      </c>
      <c r="L414" s="14" t="n"/>
      <c r="M414" s="14" t="n"/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5">
        <f>IF(G415="","",CHOOSE(G415,"Lead","Atendimento","Visita","Proposta","Venda"))</f>
        <v/>
      </c>
      <c r="I415" s="13" t="n"/>
      <c r="J415" s="16">
        <f>IF(OR(G415="",I415="",L415="Sim"),"",I415+VLOOKUP(G415,$M$3:$N$7,2,FALSE))</f>
        <v/>
      </c>
      <c r="K415" s="17">
        <f>IF(L415="Sim","Perdido",IF(J415="","",IF(J415&lt;TODAY(),"ATRASADO",IF(J415=TODAY(),"Hoje","Em dia"))))</f>
        <v/>
      </c>
      <c r="L415" s="14" t="n"/>
      <c r="M415" s="14" t="n"/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5">
        <f>IF(G416="","",CHOOSE(G416,"Lead","Atendimento","Visita","Proposta","Venda"))</f>
        <v/>
      </c>
      <c r="I416" s="13" t="n"/>
      <c r="J416" s="16">
        <f>IF(OR(G416="",I416="",L416="Sim"),"",I416+VLOOKUP(G416,$M$3:$N$7,2,FALSE))</f>
        <v/>
      </c>
      <c r="K416" s="17">
        <f>IF(L416="Sim","Perdido",IF(J416="","",IF(J416&lt;TODAY(),"ATRASADO",IF(J416=TODAY(),"Hoje","Em dia"))))</f>
        <v/>
      </c>
      <c r="L416" s="14" t="n"/>
      <c r="M416" s="14" t="n"/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5">
        <f>IF(G417="","",CHOOSE(G417,"Lead","Atendimento","Visita","Proposta","Venda"))</f>
        <v/>
      </c>
      <c r="I417" s="13" t="n"/>
      <c r="J417" s="16">
        <f>IF(OR(G417="",I417="",L417="Sim"),"",I417+VLOOKUP(G417,$M$3:$N$7,2,FALSE))</f>
        <v/>
      </c>
      <c r="K417" s="17">
        <f>IF(L417="Sim","Perdido",IF(J417="","",IF(J417&lt;TODAY(),"ATRASADO",IF(J417=TODAY(),"Hoje","Em dia"))))</f>
        <v/>
      </c>
      <c r="L417" s="14" t="n"/>
      <c r="M417" s="14" t="n"/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5">
        <f>IF(G418="","",CHOOSE(G418,"Lead","Atendimento","Visita","Proposta","Venda"))</f>
        <v/>
      </c>
      <c r="I418" s="13" t="n"/>
      <c r="J418" s="16">
        <f>IF(OR(G418="",I418="",L418="Sim"),"",I418+VLOOKUP(G418,$M$3:$N$7,2,FALSE))</f>
        <v/>
      </c>
      <c r="K418" s="17">
        <f>IF(L418="Sim","Perdido",IF(J418="","",IF(J418&lt;TODAY(),"ATRASADO",IF(J418=TODAY(),"Hoje","Em dia"))))</f>
        <v/>
      </c>
      <c r="L418" s="14" t="n"/>
      <c r="M418" s="14" t="n"/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5">
        <f>IF(G419="","",CHOOSE(G419,"Lead","Atendimento","Visita","Proposta","Venda"))</f>
        <v/>
      </c>
      <c r="I419" s="13" t="n"/>
      <c r="J419" s="16">
        <f>IF(OR(G419="",I419="",L419="Sim"),"",I419+VLOOKUP(G419,$M$3:$N$7,2,FALSE))</f>
        <v/>
      </c>
      <c r="K419" s="17">
        <f>IF(L419="Sim","Perdido",IF(J419="","",IF(J419&lt;TODAY(),"ATRASADO",IF(J419=TODAY(),"Hoje","Em dia"))))</f>
        <v/>
      </c>
      <c r="L419" s="14" t="n"/>
      <c r="M419" s="14" t="n"/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5">
        <f>IF(G420="","",CHOOSE(G420,"Lead","Atendimento","Visita","Proposta","Venda"))</f>
        <v/>
      </c>
      <c r="I420" s="13" t="n"/>
      <c r="J420" s="16">
        <f>IF(OR(G420="",I420="",L420="Sim"),"",I420+VLOOKUP(G420,$M$3:$N$7,2,FALSE))</f>
        <v/>
      </c>
      <c r="K420" s="17">
        <f>IF(L420="Sim","Perdido",IF(J420="","",IF(J420&lt;TODAY(),"ATRASADO",IF(J420=TODAY(),"Hoje","Em dia"))))</f>
        <v/>
      </c>
      <c r="L420" s="14" t="n"/>
      <c r="M420" s="14" t="n"/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5">
        <f>IF(G421="","",CHOOSE(G421,"Lead","Atendimento","Visita","Proposta","Venda"))</f>
        <v/>
      </c>
      <c r="I421" s="13" t="n"/>
      <c r="J421" s="16">
        <f>IF(OR(G421="",I421="",L421="Sim"),"",I421+VLOOKUP(G421,$M$3:$N$7,2,FALSE))</f>
        <v/>
      </c>
      <c r="K421" s="17">
        <f>IF(L421="Sim","Perdido",IF(J421="","",IF(J421&lt;TODAY(),"ATRASADO",IF(J421=TODAY(),"Hoje","Em dia"))))</f>
        <v/>
      </c>
      <c r="L421" s="14" t="n"/>
      <c r="M421" s="14" t="n"/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5">
        <f>IF(G422="","",CHOOSE(G422,"Lead","Atendimento","Visita","Proposta","Venda"))</f>
        <v/>
      </c>
      <c r="I422" s="13" t="n"/>
      <c r="J422" s="16">
        <f>IF(OR(G422="",I422="",L422="Sim"),"",I422+VLOOKUP(G422,$M$3:$N$7,2,FALSE))</f>
        <v/>
      </c>
      <c r="K422" s="17">
        <f>IF(L422="Sim","Perdido",IF(J422="","",IF(J422&lt;TODAY(),"ATRASADO",IF(J422=TODAY(),"Hoje","Em dia"))))</f>
        <v/>
      </c>
      <c r="L422" s="14" t="n"/>
      <c r="M422" s="14" t="n"/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5">
        <f>IF(G423="","",CHOOSE(G423,"Lead","Atendimento","Visita","Proposta","Venda"))</f>
        <v/>
      </c>
      <c r="I423" s="13" t="n"/>
      <c r="J423" s="16">
        <f>IF(OR(G423="",I423="",L423="Sim"),"",I423+VLOOKUP(G423,$M$3:$N$7,2,FALSE))</f>
        <v/>
      </c>
      <c r="K423" s="17">
        <f>IF(L423="Sim","Perdido",IF(J423="","",IF(J423&lt;TODAY(),"ATRASADO",IF(J423=TODAY(),"Hoje","Em dia"))))</f>
        <v/>
      </c>
      <c r="L423" s="14" t="n"/>
      <c r="M423" s="14" t="n"/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5">
        <f>IF(G424="","",CHOOSE(G424,"Lead","Atendimento","Visita","Proposta","Venda"))</f>
        <v/>
      </c>
      <c r="I424" s="13" t="n"/>
      <c r="J424" s="16">
        <f>IF(OR(G424="",I424="",L424="Sim"),"",I424+VLOOKUP(G424,$M$3:$N$7,2,FALSE))</f>
        <v/>
      </c>
      <c r="K424" s="17">
        <f>IF(L424="Sim","Perdido",IF(J424="","",IF(J424&lt;TODAY(),"ATRASADO",IF(J424=TODAY(),"Hoje","Em dia"))))</f>
        <v/>
      </c>
      <c r="L424" s="14" t="n"/>
      <c r="M424" s="14" t="n"/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5">
        <f>IF(G425="","",CHOOSE(G425,"Lead","Atendimento","Visita","Proposta","Venda"))</f>
        <v/>
      </c>
      <c r="I425" s="13" t="n"/>
      <c r="J425" s="16">
        <f>IF(OR(G425="",I425="",L425="Sim"),"",I425+VLOOKUP(G425,$M$3:$N$7,2,FALSE))</f>
        <v/>
      </c>
      <c r="K425" s="17">
        <f>IF(L425="Sim","Perdido",IF(J425="","",IF(J425&lt;TODAY(),"ATRASADO",IF(J425=TODAY(),"Hoje","Em dia"))))</f>
        <v/>
      </c>
      <c r="L425" s="14" t="n"/>
      <c r="M425" s="14" t="n"/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5">
        <f>IF(G426="","",CHOOSE(G426,"Lead","Atendimento","Visita","Proposta","Venda"))</f>
        <v/>
      </c>
      <c r="I426" s="13" t="n"/>
      <c r="J426" s="16">
        <f>IF(OR(G426="",I426="",L426="Sim"),"",I426+VLOOKUP(G426,$M$3:$N$7,2,FALSE))</f>
        <v/>
      </c>
      <c r="K426" s="17">
        <f>IF(L426="Sim","Perdido",IF(J426="","",IF(J426&lt;TODAY(),"ATRASADO",IF(J426=TODAY(),"Hoje","Em dia"))))</f>
        <v/>
      </c>
      <c r="L426" s="14" t="n"/>
      <c r="M426" s="14" t="n"/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5">
        <f>IF(G427="","",CHOOSE(G427,"Lead","Atendimento","Visita","Proposta","Venda"))</f>
        <v/>
      </c>
      <c r="I427" s="13" t="n"/>
      <c r="J427" s="16">
        <f>IF(OR(G427="",I427="",L427="Sim"),"",I427+VLOOKUP(G427,$M$3:$N$7,2,FALSE))</f>
        <v/>
      </c>
      <c r="K427" s="17">
        <f>IF(L427="Sim","Perdido",IF(J427="","",IF(J427&lt;TODAY(),"ATRASADO",IF(J427=TODAY(),"Hoje","Em dia"))))</f>
        <v/>
      </c>
      <c r="L427" s="14" t="n"/>
      <c r="M427" s="14" t="n"/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5">
        <f>IF(G428="","",CHOOSE(G428,"Lead","Atendimento","Visita","Proposta","Venda"))</f>
        <v/>
      </c>
      <c r="I428" s="13" t="n"/>
      <c r="J428" s="16">
        <f>IF(OR(G428="",I428="",L428="Sim"),"",I428+VLOOKUP(G428,$M$3:$N$7,2,FALSE))</f>
        <v/>
      </c>
      <c r="K428" s="17">
        <f>IF(L428="Sim","Perdido",IF(J428="","",IF(J428&lt;TODAY(),"ATRASADO",IF(J428=TODAY(),"Hoje","Em dia"))))</f>
        <v/>
      </c>
      <c r="L428" s="14" t="n"/>
      <c r="M428" s="14" t="n"/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5">
        <f>IF(G429="","",CHOOSE(G429,"Lead","Atendimento","Visita","Proposta","Venda"))</f>
        <v/>
      </c>
      <c r="I429" s="13" t="n"/>
      <c r="J429" s="16">
        <f>IF(OR(G429="",I429="",L429="Sim"),"",I429+VLOOKUP(G429,$M$3:$N$7,2,FALSE))</f>
        <v/>
      </c>
      <c r="K429" s="17">
        <f>IF(L429="Sim","Perdido",IF(J429="","",IF(J429&lt;TODAY(),"ATRASADO",IF(J429=TODAY(),"Hoje","Em dia"))))</f>
        <v/>
      </c>
      <c r="L429" s="14" t="n"/>
      <c r="M429" s="14" t="n"/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5">
        <f>IF(G430="","",CHOOSE(G430,"Lead","Atendimento","Visita","Proposta","Venda"))</f>
        <v/>
      </c>
      <c r="I430" s="13" t="n"/>
      <c r="J430" s="16">
        <f>IF(OR(G430="",I430="",L430="Sim"),"",I430+VLOOKUP(G430,$M$3:$N$7,2,FALSE))</f>
        <v/>
      </c>
      <c r="K430" s="17">
        <f>IF(L430="Sim","Perdido",IF(J430="","",IF(J430&lt;TODAY(),"ATRASADO",IF(J430=TODAY(),"Hoje","Em dia"))))</f>
        <v/>
      </c>
      <c r="L430" s="14" t="n"/>
      <c r="M430" s="14" t="n"/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5">
        <f>IF(G431="","",CHOOSE(G431,"Lead","Atendimento","Visita","Proposta","Venda"))</f>
        <v/>
      </c>
      <c r="I431" s="13" t="n"/>
      <c r="J431" s="16">
        <f>IF(OR(G431="",I431="",L431="Sim"),"",I431+VLOOKUP(G431,$M$3:$N$7,2,FALSE))</f>
        <v/>
      </c>
      <c r="K431" s="17">
        <f>IF(L431="Sim","Perdido",IF(J431="","",IF(J431&lt;TODAY(),"ATRASADO",IF(J431=TODAY(),"Hoje","Em dia"))))</f>
        <v/>
      </c>
      <c r="L431" s="14" t="n"/>
      <c r="M431" s="14" t="n"/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5">
        <f>IF(G432="","",CHOOSE(G432,"Lead","Atendimento","Visita","Proposta","Venda"))</f>
        <v/>
      </c>
      <c r="I432" s="13" t="n"/>
      <c r="J432" s="16">
        <f>IF(OR(G432="",I432="",L432="Sim"),"",I432+VLOOKUP(G432,$M$3:$N$7,2,FALSE))</f>
        <v/>
      </c>
      <c r="K432" s="17">
        <f>IF(L432="Sim","Perdido",IF(J432="","",IF(J432&lt;TODAY(),"ATRASADO",IF(J432=TODAY(),"Hoje","Em dia"))))</f>
        <v/>
      </c>
      <c r="L432" s="14" t="n"/>
      <c r="M432" s="14" t="n"/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5">
        <f>IF(G433="","",CHOOSE(G433,"Lead","Atendimento","Visita","Proposta","Venda"))</f>
        <v/>
      </c>
      <c r="I433" s="13" t="n"/>
      <c r="J433" s="16">
        <f>IF(OR(G433="",I433="",L433="Sim"),"",I433+VLOOKUP(G433,$M$3:$N$7,2,FALSE))</f>
        <v/>
      </c>
      <c r="K433" s="17">
        <f>IF(L433="Sim","Perdido",IF(J433="","",IF(J433&lt;TODAY(),"ATRASADO",IF(J433=TODAY(),"Hoje","Em dia"))))</f>
        <v/>
      </c>
      <c r="L433" s="14" t="n"/>
      <c r="M433" s="14" t="n"/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5">
        <f>IF(G434="","",CHOOSE(G434,"Lead","Atendimento","Visita","Proposta","Venda"))</f>
        <v/>
      </c>
      <c r="I434" s="13" t="n"/>
      <c r="J434" s="16">
        <f>IF(OR(G434="",I434="",L434="Sim"),"",I434+VLOOKUP(G434,$M$3:$N$7,2,FALSE))</f>
        <v/>
      </c>
      <c r="K434" s="17">
        <f>IF(L434="Sim","Perdido",IF(J434="","",IF(J434&lt;TODAY(),"ATRASADO",IF(J434=TODAY(),"Hoje","Em dia"))))</f>
        <v/>
      </c>
      <c r="L434" s="14" t="n"/>
      <c r="M434" s="14" t="n"/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5">
        <f>IF(G435="","",CHOOSE(G435,"Lead","Atendimento","Visita","Proposta","Venda"))</f>
        <v/>
      </c>
      <c r="I435" s="13" t="n"/>
      <c r="J435" s="16">
        <f>IF(OR(G435="",I435="",L435="Sim"),"",I435+VLOOKUP(G435,$M$3:$N$7,2,FALSE))</f>
        <v/>
      </c>
      <c r="K435" s="17">
        <f>IF(L435="Sim","Perdido",IF(J435="","",IF(J435&lt;TODAY(),"ATRASADO",IF(J435=TODAY(),"Hoje","Em dia"))))</f>
        <v/>
      </c>
      <c r="L435" s="14" t="n"/>
      <c r="M435" s="14" t="n"/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5">
        <f>IF(G436="","",CHOOSE(G436,"Lead","Atendimento","Visita","Proposta","Venda"))</f>
        <v/>
      </c>
      <c r="I436" s="13" t="n"/>
      <c r="J436" s="16">
        <f>IF(OR(G436="",I436="",L436="Sim"),"",I436+VLOOKUP(G436,$M$3:$N$7,2,FALSE))</f>
        <v/>
      </c>
      <c r="K436" s="17">
        <f>IF(L436="Sim","Perdido",IF(J436="","",IF(J436&lt;TODAY(),"ATRASADO",IF(J436=TODAY(),"Hoje","Em dia"))))</f>
        <v/>
      </c>
      <c r="L436" s="14" t="n"/>
      <c r="M436" s="14" t="n"/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5">
        <f>IF(G437="","",CHOOSE(G437,"Lead","Atendimento","Visita","Proposta","Venda"))</f>
        <v/>
      </c>
      <c r="I437" s="13" t="n"/>
      <c r="J437" s="16">
        <f>IF(OR(G437="",I437="",L437="Sim"),"",I437+VLOOKUP(G437,$M$3:$N$7,2,FALSE))</f>
        <v/>
      </c>
      <c r="K437" s="17">
        <f>IF(L437="Sim","Perdido",IF(J437="","",IF(J437&lt;TODAY(),"ATRASADO",IF(J437=TODAY(),"Hoje","Em dia"))))</f>
        <v/>
      </c>
      <c r="L437" s="14" t="n"/>
      <c r="M437" s="14" t="n"/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5">
        <f>IF(G438="","",CHOOSE(G438,"Lead","Atendimento","Visita","Proposta","Venda"))</f>
        <v/>
      </c>
      <c r="I438" s="13" t="n"/>
      <c r="J438" s="16">
        <f>IF(OR(G438="",I438="",L438="Sim"),"",I438+VLOOKUP(G438,$M$3:$N$7,2,FALSE))</f>
        <v/>
      </c>
      <c r="K438" s="17">
        <f>IF(L438="Sim","Perdido",IF(J438="","",IF(J438&lt;TODAY(),"ATRASADO",IF(J438=TODAY(),"Hoje","Em dia"))))</f>
        <v/>
      </c>
      <c r="L438" s="14" t="n"/>
      <c r="M438" s="14" t="n"/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5">
        <f>IF(G439="","",CHOOSE(G439,"Lead","Atendimento","Visita","Proposta","Venda"))</f>
        <v/>
      </c>
      <c r="I439" s="13" t="n"/>
      <c r="J439" s="16">
        <f>IF(OR(G439="",I439="",L439="Sim"),"",I439+VLOOKUP(G439,$M$3:$N$7,2,FALSE))</f>
        <v/>
      </c>
      <c r="K439" s="17">
        <f>IF(L439="Sim","Perdido",IF(J439="","",IF(J439&lt;TODAY(),"ATRASADO",IF(J439=TODAY(),"Hoje","Em dia"))))</f>
        <v/>
      </c>
      <c r="L439" s="14" t="n"/>
      <c r="M439" s="14" t="n"/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5">
        <f>IF(G440="","",CHOOSE(G440,"Lead","Atendimento","Visita","Proposta","Venda"))</f>
        <v/>
      </c>
      <c r="I440" s="13" t="n"/>
      <c r="J440" s="16">
        <f>IF(OR(G440="",I440="",L440="Sim"),"",I440+VLOOKUP(G440,$M$3:$N$7,2,FALSE))</f>
        <v/>
      </c>
      <c r="K440" s="17">
        <f>IF(L440="Sim","Perdido",IF(J440="","",IF(J440&lt;TODAY(),"ATRASADO",IF(J440=TODAY(),"Hoje","Em dia"))))</f>
        <v/>
      </c>
      <c r="L440" s="14" t="n"/>
      <c r="M440" s="14" t="n"/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5">
        <f>IF(G441="","",CHOOSE(G441,"Lead","Atendimento","Visita","Proposta","Venda"))</f>
        <v/>
      </c>
      <c r="I441" s="13" t="n"/>
      <c r="J441" s="16">
        <f>IF(OR(G441="",I441="",L441="Sim"),"",I441+VLOOKUP(G441,$M$3:$N$7,2,FALSE))</f>
        <v/>
      </c>
      <c r="K441" s="17">
        <f>IF(L441="Sim","Perdido",IF(J441="","",IF(J441&lt;TODAY(),"ATRASADO",IF(J441=TODAY(),"Hoje","Em dia"))))</f>
        <v/>
      </c>
      <c r="L441" s="14" t="n"/>
      <c r="M441" s="14" t="n"/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5">
        <f>IF(G442="","",CHOOSE(G442,"Lead","Atendimento","Visita","Proposta","Venda"))</f>
        <v/>
      </c>
      <c r="I442" s="13" t="n"/>
      <c r="J442" s="16">
        <f>IF(OR(G442="",I442="",L442="Sim"),"",I442+VLOOKUP(G442,$M$3:$N$7,2,FALSE))</f>
        <v/>
      </c>
      <c r="K442" s="17">
        <f>IF(L442="Sim","Perdido",IF(J442="","",IF(J442&lt;TODAY(),"ATRASADO",IF(J442=TODAY(),"Hoje","Em dia"))))</f>
        <v/>
      </c>
      <c r="L442" s="14" t="n"/>
      <c r="M442" s="14" t="n"/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5">
        <f>IF(G443="","",CHOOSE(G443,"Lead","Atendimento","Visita","Proposta","Venda"))</f>
        <v/>
      </c>
      <c r="I443" s="13" t="n"/>
      <c r="J443" s="16">
        <f>IF(OR(G443="",I443="",L443="Sim"),"",I443+VLOOKUP(G443,$M$3:$N$7,2,FALSE))</f>
        <v/>
      </c>
      <c r="K443" s="17">
        <f>IF(L443="Sim","Perdido",IF(J443="","",IF(J443&lt;TODAY(),"ATRASADO",IF(J443=TODAY(),"Hoje","Em dia"))))</f>
        <v/>
      </c>
      <c r="L443" s="14" t="n"/>
      <c r="M443" s="14" t="n"/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5">
        <f>IF(G444="","",CHOOSE(G444,"Lead","Atendimento","Visita","Proposta","Venda"))</f>
        <v/>
      </c>
      <c r="I444" s="13" t="n"/>
      <c r="J444" s="16">
        <f>IF(OR(G444="",I444="",L444="Sim"),"",I444+VLOOKUP(G444,$M$3:$N$7,2,FALSE))</f>
        <v/>
      </c>
      <c r="K444" s="17">
        <f>IF(L444="Sim","Perdido",IF(J444="","",IF(J444&lt;TODAY(),"ATRASADO",IF(J444=TODAY(),"Hoje","Em dia"))))</f>
        <v/>
      </c>
      <c r="L444" s="14" t="n"/>
      <c r="M444" s="14" t="n"/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5">
        <f>IF(G445="","",CHOOSE(G445,"Lead","Atendimento","Visita","Proposta","Venda"))</f>
        <v/>
      </c>
      <c r="I445" s="13" t="n"/>
      <c r="J445" s="16">
        <f>IF(OR(G445="",I445="",L445="Sim"),"",I445+VLOOKUP(G445,$M$3:$N$7,2,FALSE))</f>
        <v/>
      </c>
      <c r="K445" s="17">
        <f>IF(L445="Sim","Perdido",IF(J445="","",IF(J445&lt;TODAY(),"ATRASADO",IF(J445=TODAY(),"Hoje","Em dia"))))</f>
        <v/>
      </c>
      <c r="L445" s="14" t="n"/>
      <c r="M445" s="14" t="n"/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5">
        <f>IF(G446="","",CHOOSE(G446,"Lead","Atendimento","Visita","Proposta","Venda"))</f>
        <v/>
      </c>
      <c r="I446" s="13" t="n"/>
      <c r="J446" s="16">
        <f>IF(OR(G446="",I446="",L446="Sim"),"",I446+VLOOKUP(G446,$M$3:$N$7,2,FALSE))</f>
        <v/>
      </c>
      <c r="K446" s="17">
        <f>IF(L446="Sim","Perdido",IF(J446="","",IF(J446&lt;TODAY(),"ATRASADO",IF(J446=TODAY(),"Hoje","Em dia"))))</f>
        <v/>
      </c>
      <c r="L446" s="14" t="n"/>
      <c r="M446" s="14" t="n"/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5">
        <f>IF(G447="","",CHOOSE(G447,"Lead","Atendimento","Visita","Proposta","Venda"))</f>
        <v/>
      </c>
      <c r="I447" s="13" t="n"/>
      <c r="J447" s="16">
        <f>IF(OR(G447="",I447="",L447="Sim"),"",I447+VLOOKUP(G447,$M$3:$N$7,2,FALSE))</f>
        <v/>
      </c>
      <c r="K447" s="17">
        <f>IF(L447="Sim","Perdido",IF(J447="","",IF(J447&lt;TODAY(),"ATRASADO",IF(J447=TODAY(),"Hoje","Em dia"))))</f>
        <v/>
      </c>
      <c r="L447" s="14" t="n"/>
      <c r="M447" s="14" t="n"/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5">
        <f>IF(G448="","",CHOOSE(G448,"Lead","Atendimento","Visita","Proposta","Venda"))</f>
        <v/>
      </c>
      <c r="I448" s="13" t="n"/>
      <c r="J448" s="16">
        <f>IF(OR(G448="",I448="",L448="Sim"),"",I448+VLOOKUP(G448,$M$3:$N$7,2,FALSE))</f>
        <v/>
      </c>
      <c r="K448" s="17">
        <f>IF(L448="Sim","Perdido",IF(J448="","",IF(J448&lt;TODAY(),"ATRASADO",IF(J448=TODAY(),"Hoje","Em dia"))))</f>
        <v/>
      </c>
      <c r="L448" s="14" t="n"/>
      <c r="M448" s="14" t="n"/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5">
        <f>IF(G449="","",CHOOSE(G449,"Lead","Atendimento","Visita","Proposta","Venda"))</f>
        <v/>
      </c>
      <c r="I449" s="13" t="n"/>
      <c r="J449" s="16">
        <f>IF(OR(G449="",I449="",L449="Sim"),"",I449+VLOOKUP(G449,$M$3:$N$7,2,FALSE))</f>
        <v/>
      </c>
      <c r="K449" s="17">
        <f>IF(L449="Sim","Perdido",IF(J449="","",IF(J449&lt;TODAY(),"ATRASADO",IF(J449=TODAY(),"Hoje","Em dia"))))</f>
        <v/>
      </c>
      <c r="L449" s="14" t="n"/>
      <c r="M449" s="14" t="n"/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5">
        <f>IF(G450="","",CHOOSE(G450,"Lead","Atendimento","Visita","Proposta","Venda"))</f>
        <v/>
      </c>
      <c r="I450" s="13" t="n"/>
      <c r="J450" s="16">
        <f>IF(OR(G450="",I450="",L450="Sim"),"",I450+VLOOKUP(G450,$M$3:$N$7,2,FALSE))</f>
        <v/>
      </c>
      <c r="K450" s="17">
        <f>IF(L450="Sim","Perdido",IF(J450="","",IF(J450&lt;TODAY(),"ATRASADO",IF(J450=TODAY(),"Hoje","Em dia"))))</f>
        <v/>
      </c>
      <c r="L450" s="14" t="n"/>
      <c r="M450" s="14" t="n"/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5">
        <f>IF(G451="","",CHOOSE(G451,"Lead","Atendimento","Visita","Proposta","Venda"))</f>
        <v/>
      </c>
      <c r="I451" s="13" t="n"/>
      <c r="J451" s="16">
        <f>IF(OR(G451="",I451="",L451="Sim"),"",I451+VLOOKUP(G451,$M$3:$N$7,2,FALSE))</f>
        <v/>
      </c>
      <c r="K451" s="17">
        <f>IF(L451="Sim","Perdido",IF(J451="","",IF(J451&lt;TODAY(),"ATRASADO",IF(J451=TODAY(),"Hoje","Em dia"))))</f>
        <v/>
      </c>
      <c r="L451" s="14" t="n"/>
      <c r="M451" s="14" t="n"/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5">
        <f>IF(G452="","",CHOOSE(G452,"Lead","Atendimento","Visita","Proposta","Venda"))</f>
        <v/>
      </c>
      <c r="I452" s="13" t="n"/>
      <c r="J452" s="16">
        <f>IF(OR(G452="",I452="",L452="Sim"),"",I452+VLOOKUP(G452,$M$3:$N$7,2,FALSE))</f>
        <v/>
      </c>
      <c r="K452" s="17">
        <f>IF(L452="Sim","Perdido",IF(J452="","",IF(J452&lt;TODAY(),"ATRASADO",IF(J452=TODAY(),"Hoje","Em dia"))))</f>
        <v/>
      </c>
      <c r="L452" s="14" t="n"/>
      <c r="M452" s="14" t="n"/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5">
        <f>IF(G453="","",CHOOSE(G453,"Lead","Atendimento","Visita","Proposta","Venda"))</f>
        <v/>
      </c>
      <c r="I453" s="13" t="n"/>
      <c r="J453" s="16">
        <f>IF(OR(G453="",I453="",L453="Sim"),"",I453+VLOOKUP(G453,$M$3:$N$7,2,FALSE))</f>
        <v/>
      </c>
      <c r="K453" s="17">
        <f>IF(L453="Sim","Perdido",IF(J453="","",IF(J453&lt;TODAY(),"ATRASADO",IF(J453=TODAY(),"Hoje","Em dia"))))</f>
        <v/>
      </c>
      <c r="L453" s="14" t="n"/>
      <c r="M453" s="14" t="n"/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5">
        <f>IF(G454="","",CHOOSE(G454,"Lead","Atendimento","Visita","Proposta","Venda"))</f>
        <v/>
      </c>
      <c r="I454" s="13" t="n"/>
      <c r="J454" s="16">
        <f>IF(OR(G454="",I454="",L454="Sim"),"",I454+VLOOKUP(G454,$M$3:$N$7,2,FALSE))</f>
        <v/>
      </c>
      <c r="K454" s="17">
        <f>IF(L454="Sim","Perdido",IF(J454="","",IF(J454&lt;TODAY(),"ATRASADO",IF(J454=TODAY(),"Hoje","Em dia"))))</f>
        <v/>
      </c>
      <c r="L454" s="14" t="n"/>
      <c r="M454" s="14" t="n"/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5">
        <f>IF(G455="","",CHOOSE(G455,"Lead","Atendimento","Visita","Proposta","Venda"))</f>
        <v/>
      </c>
      <c r="I455" s="13" t="n"/>
      <c r="J455" s="16">
        <f>IF(OR(G455="",I455="",L455="Sim"),"",I455+VLOOKUP(G455,$M$3:$N$7,2,FALSE))</f>
        <v/>
      </c>
      <c r="K455" s="17">
        <f>IF(L455="Sim","Perdido",IF(J455="","",IF(J455&lt;TODAY(),"ATRASADO",IF(J455=TODAY(),"Hoje","Em dia"))))</f>
        <v/>
      </c>
      <c r="L455" s="14" t="n"/>
      <c r="M455" s="14" t="n"/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5">
        <f>IF(G456="","",CHOOSE(G456,"Lead","Atendimento","Visita","Proposta","Venda"))</f>
        <v/>
      </c>
      <c r="I456" s="13" t="n"/>
      <c r="J456" s="16">
        <f>IF(OR(G456="",I456="",L456="Sim"),"",I456+VLOOKUP(G456,$M$3:$N$7,2,FALSE))</f>
        <v/>
      </c>
      <c r="K456" s="17">
        <f>IF(L456="Sim","Perdido",IF(J456="","",IF(J456&lt;TODAY(),"ATRASADO",IF(J456=TODAY(),"Hoje","Em dia"))))</f>
        <v/>
      </c>
      <c r="L456" s="14" t="n"/>
      <c r="M456" s="14" t="n"/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5">
        <f>IF(G457="","",CHOOSE(G457,"Lead","Atendimento","Visita","Proposta","Venda"))</f>
        <v/>
      </c>
      <c r="I457" s="13" t="n"/>
      <c r="J457" s="16">
        <f>IF(OR(G457="",I457="",L457="Sim"),"",I457+VLOOKUP(G457,$M$3:$N$7,2,FALSE))</f>
        <v/>
      </c>
      <c r="K457" s="17">
        <f>IF(L457="Sim","Perdido",IF(J457="","",IF(J457&lt;TODAY(),"ATRASADO",IF(J457=TODAY(),"Hoje","Em dia"))))</f>
        <v/>
      </c>
      <c r="L457" s="14" t="n"/>
      <c r="M457" s="14" t="n"/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5">
        <f>IF(G458="","",CHOOSE(G458,"Lead","Atendimento","Visita","Proposta","Venda"))</f>
        <v/>
      </c>
      <c r="I458" s="13" t="n"/>
      <c r="J458" s="16">
        <f>IF(OR(G458="",I458="",L458="Sim"),"",I458+VLOOKUP(G458,$M$3:$N$7,2,FALSE))</f>
        <v/>
      </c>
      <c r="K458" s="17">
        <f>IF(L458="Sim","Perdido",IF(J458="","",IF(J458&lt;TODAY(),"ATRASADO",IF(J458=TODAY(),"Hoje","Em dia"))))</f>
        <v/>
      </c>
      <c r="L458" s="14" t="n"/>
      <c r="M458" s="14" t="n"/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5">
        <f>IF(G459="","",CHOOSE(G459,"Lead","Atendimento","Visita","Proposta","Venda"))</f>
        <v/>
      </c>
      <c r="I459" s="13" t="n"/>
      <c r="J459" s="16">
        <f>IF(OR(G459="",I459="",L459="Sim"),"",I459+VLOOKUP(G459,$M$3:$N$7,2,FALSE))</f>
        <v/>
      </c>
      <c r="K459" s="17">
        <f>IF(L459="Sim","Perdido",IF(J459="","",IF(J459&lt;TODAY(),"ATRASADO",IF(J459=TODAY(),"Hoje","Em dia"))))</f>
        <v/>
      </c>
      <c r="L459" s="14" t="n"/>
      <c r="M459" s="14" t="n"/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5">
        <f>IF(G460="","",CHOOSE(G460,"Lead","Atendimento","Visita","Proposta","Venda"))</f>
        <v/>
      </c>
      <c r="I460" s="13" t="n"/>
      <c r="J460" s="16">
        <f>IF(OR(G460="",I460="",L460="Sim"),"",I460+VLOOKUP(G460,$M$3:$N$7,2,FALSE))</f>
        <v/>
      </c>
      <c r="K460" s="17">
        <f>IF(L460="Sim","Perdido",IF(J460="","",IF(J460&lt;TODAY(),"ATRASADO",IF(J460=TODAY(),"Hoje","Em dia"))))</f>
        <v/>
      </c>
      <c r="L460" s="14" t="n"/>
      <c r="M460" s="14" t="n"/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5">
        <f>IF(G461="","",CHOOSE(G461,"Lead","Atendimento","Visita","Proposta","Venda"))</f>
        <v/>
      </c>
      <c r="I461" s="13" t="n"/>
      <c r="J461" s="16">
        <f>IF(OR(G461="",I461="",L461="Sim"),"",I461+VLOOKUP(G461,$M$3:$N$7,2,FALSE))</f>
        <v/>
      </c>
      <c r="K461" s="17">
        <f>IF(L461="Sim","Perdido",IF(J461="","",IF(J461&lt;TODAY(),"ATRASADO",IF(J461=TODAY(),"Hoje","Em dia"))))</f>
        <v/>
      </c>
      <c r="L461" s="14" t="n"/>
      <c r="M461" s="14" t="n"/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5">
        <f>IF(G462="","",CHOOSE(G462,"Lead","Atendimento","Visita","Proposta","Venda"))</f>
        <v/>
      </c>
      <c r="I462" s="13" t="n"/>
      <c r="J462" s="16">
        <f>IF(OR(G462="",I462="",L462="Sim"),"",I462+VLOOKUP(G462,$M$3:$N$7,2,FALSE))</f>
        <v/>
      </c>
      <c r="K462" s="17">
        <f>IF(L462="Sim","Perdido",IF(J462="","",IF(J462&lt;TODAY(),"ATRASADO",IF(J462=TODAY(),"Hoje","Em dia"))))</f>
        <v/>
      </c>
      <c r="L462" s="14" t="n"/>
      <c r="M462" s="14" t="n"/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5">
        <f>IF(G463="","",CHOOSE(G463,"Lead","Atendimento","Visita","Proposta","Venda"))</f>
        <v/>
      </c>
      <c r="I463" s="13" t="n"/>
      <c r="J463" s="16">
        <f>IF(OR(G463="",I463="",L463="Sim"),"",I463+VLOOKUP(G463,$M$3:$N$7,2,FALSE))</f>
        <v/>
      </c>
      <c r="K463" s="17">
        <f>IF(L463="Sim","Perdido",IF(J463="","",IF(J463&lt;TODAY(),"ATRASADO",IF(J463=TODAY(),"Hoje","Em dia"))))</f>
        <v/>
      </c>
      <c r="L463" s="14" t="n"/>
      <c r="M463" s="14" t="n"/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5">
        <f>IF(G464="","",CHOOSE(G464,"Lead","Atendimento","Visita","Proposta","Venda"))</f>
        <v/>
      </c>
      <c r="I464" s="13" t="n"/>
      <c r="J464" s="16">
        <f>IF(OR(G464="",I464="",L464="Sim"),"",I464+VLOOKUP(G464,$M$3:$N$7,2,FALSE))</f>
        <v/>
      </c>
      <c r="K464" s="17">
        <f>IF(L464="Sim","Perdido",IF(J464="","",IF(J464&lt;TODAY(),"ATRASADO",IF(J464=TODAY(),"Hoje","Em dia"))))</f>
        <v/>
      </c>
      <c r="L464" s="14" t="n"/>
      <c r="M464" s="14" t="n"/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5">
        <f>IF(G465="","",CHOOSE(G465,"Lead","Atendimento","Visita","Proposta","Venda"))</f>
        <v/>
      </c>
      <c r="I465" s="13" t="n"/>
      <c r="J465" s="16">
        <f>IF(OR(G465="",I465="",L465="Sim"),"",I465+VLOOKUP(G465,$M$3:$N$7,2,FALSE))</f>
        <v/>
      </c>
      <c r="K465" s="17">
        <f>IF(L465="Sim","Perdido",IF(J465="","",IF(J465&lt;TODAY(),"ATRASADO",IF(J465=TODAY(),"Hoje","Em dia"))))</f>
        <v/>
      </c>
      <c r="L465" s="14" t="n"/>
      <c r="M465" s="14" t="n"/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5">
        <f>IF(G466="","",CHOOSE(G466,"Lead","Atendimento","Visita","Proposta","Venda"))</f>
        <v/>
      </c>
      <c r="I466" s="13" t="n"/>
      <c r="J466" s="16">
        <f>IF(OR(G466="",I466="",L466="Sim"),"",I466+VLOOKUP(G466,$M$3:$N$7,2,FALSE))</f>
        <v/>
      </c>
      <c r="K466" s="17">
        <f>IF(L466="Sim","Perdido",IF(J466="","",IF(J466&lt;TODAY(),"ATRASADO",IF(J466=TODAY(),"Hoje","Em dia"))))</f>
        <v/>
      </c>
      <c r="L466" s="14" t="n"/>
      <c r="M466" s="14" t="n"/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5">
        <f>IF(G467="","",CHOOSE(G467,"Lead","Atendimento","Visita","Proposta","Venda"))</f>
        <v/>
      </c>
      <c r="I467" s="13" t="n"/>
      <c r="J467" s="16">
        <f>IF(OR(G467="",I467="",L467="Sim"),"",I467+VLOOKUP(G467,$M$3:$N$7,2,FALSE))</f>
        <v/>
      </c>
      <c r="K467" s="17">
        <f>IF(L467="Sim","Perdido",IF(J467="","",IF(J467&lt;TODAY(),"ATRASADO",IF(J467=TODAY(),"Hoje","Em dia"))))</f>
        <v/>
      </c>
      <c r="L467" s="14" t="n"/>
      <c r="M467" s="14" t="n"/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5">
        <f>IF(G468="","",CHOOSE(G468,"Lead","Atendimento","Visita","Proposta","Venda"))</f>
        <v/>
      </c>
      <c r="I468" s="13" t="n"/>
      <c r="J468" s="16">
        <f>IF(OR(G468="",I468="",L468="Sim"),"",I468+VLOOKUP(G468,$M$3:$N$7,2,FALSE))</f>
        <v/>
      </c>
      <c r="K468" s="17">
        <f>IF(L468="Sim","Perdido",IF(J468="","",IF(J468&lt;TODAY(),"ATRASADO",IF(J468=TODAY(),"Hoje","Em dia"))))</f>
        <v/>
      </c>
      <c r="L468" s="14" t="n"/>
      <c r="M468" s="14" t="n"/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5">
        <f>IF(G469="","",CHOOSE(G469,"Lead","Atendimento","Visita","Proposta","Venda"))</f>
        <v/>
      </c>
      <c r="I469" s="13" t="n"/>
      <c r="J469" s="16">
        <f>IF(OR(G469="",I469="",L469="Sim"),"",I469+VLOOKUP(G469,$M$3:$N$7,2,FALSE))</f>
        <v/>
      </c>
      <c r="K469" s="17">
        <f>IF(L469="Sim","Perdido",IF(J469="","",IF(J469&lt;TODAY(),"ATRASADO",IF(J469=TODAY(),"Hoje","Em dia"))))</f>
        <v/>
      </c>
      <c r="L469" s="14" t="n"/>
      <c r="M469" s="14" t="n"/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5">
        <f>IF(G470="","",CHOOSE(G470,"Lead","Atendimento","Visita","Proposta","Venda"))</f>
        <v/>
      </c>
      <c r="I470" s="13" t="n"/>
      <c r="J470" s="16">
        <f>IF(OR(G470="",I470="",L470="Sim"),"",I470+VLOOKUP(G470,$M$3:$N$7,2,FALSE))</f>
        <v/>
      </c>
      <c r="K470" s="17">
        <f>IF(L470="Sim","Perdido",IF(J470="","",IF(J470&lt;TODAY(),"ATRASADO",IF(J470=TODAY(),"Hoje","Em dia"))))</f>
        <v/>
      </c>
      <c r="L470" s="14" t="n"/>
      <c r="M470" s="14" t="n"/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5">
        <f>IF(G471="","",CHOOSE(G471,"Lead","Atendimento","Visita","Proposta","Venda"))</f>
        <v/>
      </c>
      <c r="I471" s="13" t="n"/>
      <c r="J471" s="16">
        <f>IF(OR(G471="",I471="",L471="Sim"),"",I471+VLOOKUP(G471,$M$3:$N$7,2,FALSE))</f>
        <v/>
      </c>
      <c r="K471" s="17">
        <f>IF(L471="Sim","Perdido",IF(J471="","",IF(J471&lt;TODAY(),"ATRASADO",IF(J471=TODAY(),"Hoje","Em dia"))))</f>
        <v/>
      </c>
      <c r="L471" s="14" t="n"/>
      <c r="M471" s="14" t="n"/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5">
        <f>IF(G472="","",CHOOSE(G472,"Lead","Atendimento","Visita","Proposta","Venda"))</f>
        <v/>
      </c>
      <c r="I472" s="13" t="n"/>
      <c r="J472" s="16">
        <f>IF(OR(G472="",I472="",L472="Sim"),"",I472+VLOOKUP(G472,$M$3:$N$7,2,FALSE))</f>
        <v/>
      </c>
      <c r="K472" s="17">
        <f>IF(L472="Sim","Perdido",IF(J472="","",IF(J472&lt;TODAY(),"ATRASADO",IF(J472=TODAY(),"Hoje","Em dia"))))</f>
        <v/>
      </c>
      <c r="L472" s="14" t="n"/>
      <c r="M472" s="14" t="n"/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5">
        <f>IF(G473="","",CHOOSE(G473,"Lead","Atendimento","Visita","Proposta","Venda"))</f>
        <v/>
      </c>
      <c r="I473" s="13" t="n"/>
      <c r="J473" s="16">
        <f>IF(OR(G473="",I473="",L473="Sim"),"",I473+VLOOKUP(G473,$M$3:$N$7,2,FALSE))</f>
        <v/>
      </c>
      <c r="K473" s="17">
        <f>IF(L473="Sim","Perdido",IF(J473="","",IF(J473&lt;TODAY(),"ATRASADO",IF(J473=TODAY(),"Hoje","Em dia"))))</f>
        <v/>
      </c>
      <c r="L473" s="14" t="n"/>
      <c r="M473" s="14" t="n"/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5">
        <f>IF(G474="","",CHOOSE(G474,"Lead","Atendimento","Visita","Proposta","Venda"))</f>
        <v/>
      </c>
      <c r="I474" s="13" t="n"/>
      <c r="J474" s="16">
        <f>IF(OR(G474="",I474="",L474="Sim"),"",I474+VLOOKUP(G474,$M$3:$N$7,2,FALSE))</f>
        <v/>
      </c>
      <c r="K474" s="17">
        <f>IF(L474="Sim","Perdido",IF(J474="","",IF(J474&lt;TODAY(),"ATRASADO",IF(J474=TODAY(),"Hoje","Em dia"))))</f>
        <v/>
      </c>
      <c r="L474" s="14" t="n"/>
      <c r="M474" s="14" t="n"/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5">
        <f>IF(G475="","",CHOOSE(G475,"Lead","Atendimento","Visita","Proposta","Venda"))</f>
        <v/>
      </c>
      <c r="I475" s="13" t="n"/>
      <c r="J475" s="16">
        <f>IF(OR(G475="",I475="",L475="Sim"),"",I475+VLOOKUP(G475,$M$3:$N$7,2,FALSE))</f>
        <v/>
      </c>
      <c r="K475" s="17">
        <f>IF(L475="Sim","Perdido",IF(J475="","",IF(J475&lt;TODAY(),"ATRASADO",IF(J475=TODAY(),"Hoje","Em dia"))))</f>
        <v/>
      </c>
      <c r="L475" s="14" t="n"/>
      <c r="M475" s="14" t="n"/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5">
        <f>IF(G476="","",CHOOSE(G476,"Lead","Atendimento","Visita","Proposta","Venda"))</f>
        <v/>
      </c>
      <c r="I476" s="13" t="n"/>
      <c r="J476" s="16">
        <f>IF(OR(G476="",I476="",L476="Sim"),"",I476+VLOOKUP(G476,$M$3:$N$7,2,FALSE))</f>
        <v/>
      </c>
      <c r="K476" s="17">
        <f>IF(L476="Sim","Perdido",IF(J476="","",IF(J476&lt;TODAY(),"ATRASADO",IF(J476=TODAY(),"Hoje","Em dia"))))</f>
        <v/>
      </c>
      <c r="L476" s="14" t="n"/>
      <c r="M476" s="14" t="n"/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5">
        <f>IF(G477="","",CHOOSE(G477,"Lead","Atendimento","Visita","Proposta","Venda"))</f>
        <v/>
      </c>
      <c r="I477" s="13" t="n"/>
      <c r="J477" s="16">
        <f>IF(OR(G477="",I477="",L477="Sim"),"",I477+VLOOKUP(G477,$M$3:$N$7,2,FALSE))</f>
        <v/>
      </c>
      <c r="K477" s="17">
        <f>IF(L477="Sim","Perdido",IF(J477="","",IF(J477&lt;TODAY(),"ATRASADO",IF(J477=TODAY(),"Hoje","Em dia"))))</f>
        <v/>
      </c>
      <c r="L477" s="14" t="n"/>
      <c r="M477" s="14" t="n"/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5">
        <f>IF(G478="","",CHOOSE(G478,"Lead","Atendimento","Visita","Proposta","Venda"))</f>
        <v/>
      </c>
      <c r="I478" s="13" t="n"/>
      <c r="J478" s="16">
        <f>IF(OR(G478="",I478="",L478="Sim"),"",I478+VLOOKUP(G478,$M$3:$N$7,2,FALSE))</f>
        <v/>
      </c>
      <c r="K478" s="17">
        <f>IF(L478="Sim","Perdido",IF(J478="","",IF(J478&lt;TODAY(),"ATRASADO",IF(J478=TODAY(),"Hoje","Em dia"))))</f>
        <v/>
      </c>
      <c r="L478" s="14" t="n"/>
      <c r="M478" s="14" t="n"/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5">
        <f>IF(G479="","",CHOOSE(G479,"Lead","Atendimento","Visita","Proposta","Venda"))</f>
        <v/>
      </c>
      <c r="I479" s="13" t="n"/>
      <c r="J479" s="16">
        <f>IF(OR(G479="",I479="",L479="Sim"),"",I479+VLOOKUP(G479,$M$3:$N$7,2,FALSE))</f>
        <v/>
      </c>
      <c r="K479" s="17">
        <f>IF(L479="Sim","Perdido",IF(J479="","",IF(J479&lt;TODAY(),"ATRASADO",IF(J479=TODAY(),"Hoje","Em dia"))))</f>
        <v/>
      </c>
      <c r="L479" s="14" t="n"/>
      <c r="M479" s="14" t="n"/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5">
        <f>IF(G480="","",CHOOSE(G480,"Lead","Atendimento","Visita","Proposta","Venda"))</f>
        <v/>
      </c>
      <c r="I480" s="13" t="n"/>
      <c r="J480" s="16">
        <f>IF(OR(G480="",I480="",L480="Sim"),"",I480+VLOOKUP(G480,$M$3:$N$7,2,FALSE))</f>
        <v/>
      </c>
      <c r="K480" s="17">
        <f>IF(L480="Sim","Perdido",IF(J480="","",IF(J480&lt;TODAY(),"ATRASADO",IF(J480=TODAY(),"Hoje","Em dia"))))</f>
        <v/>
      </c>
      <c r="L480" s="14" t="n"/>
      <c r="M480" s="14" t="n"/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5">
        <f>IF(G481="","",CHOOSE(G481,"Lead","Atendimento","Visita","Proposta","Venda"))</f>
        <v/>
      </c>
      <c r="I481" s="13" t="n"/>
      <c r="J481" s="16">
        <f>IF(OR(G481="",I481="",L481="Sim"),"",I481+VLOOKUP(G481,$M$3:$N$7,2,FALSE))</f>
        <v/>
      </c>
      <c r="K481" s="17">
        <f>IF(L481="Sim","Perdido",IF(J481="","",IF(J481&lt;TODAY(),"ATRASADO",IF(J481=TODAY(),"Hoje","Em dia"))))</f>
        <v/>
      </c>
      <c r="L481" s="14" t="n"/>
      <c r="M481" s="14" t="n"/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5">
        <f>IF(G482="","",CHOOSE(G482,"Lead","Atendimento","Visita","Proposta","Venda"))</f>
        <v/>
      </c>
      <c r="I482" s="13" t="n"/>
      <c r="J482" s="16">
        <f>IF(OR(G482="",I482="",L482="Sim"),"",I482+VLOOKUP(G482,$M$3:$N$7,2,FALSE))</f>
        <v/>
      </c>
      <c r="K482" s="17">
        <f>IF(L482="Sim","Perdido",IF(J482="","",IF(J482&lt;TODAY(),"ATRASADO",IF(J482=TODAY(),"Hoje","Em dia"))))</f>
        <v/>
      </c>
      <c r="L482" s="14" t="n"/>
      <c r="M482" s="14" t="n"/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5">
        <f>IF(G483="","",CHOOSE(G483,"Lead","Atendimento","Visita","Proposta","Venda"))</f>
        <v/>
      </c>
      <c r="I483" s="13" t="n"/>
      <c r="J483" s="16">
        <f>IF(OR(G483="",I483="",L483="Sim"),"",I483+VLOOKUP(G483,$M$3:$N$7,2,FALSE))</f>
        <v/>
      </c>
      <c r="K483" s="17">
        <f>IF(L483="Sim","Perdido",IF(J483="","",IF(J483&lt;TODAY(),"ATRASADO",IF(J483=TODAY(),"Hoje","Em dia"))))</f>
        <v/>
      </c>
      <c r="L483" s="14" t="n"/>
      <c r="M483" s="14" t="n"/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5">
        <f>IF(G484="","",CHOOSE(G484,"Lead","Atendimento","Visita","Proposta","Venda"))</f>
        <v/>
      </c>
      <c r="I484" s="13" t="n"/>
      <c r="J484" s="16">
        <f>IF(OR(G484="",I484="",L484="Sim"),"",I484+VLOOKUP(G484,$M$3:$N$7,2,FALSE))</f>
        <v/>
      </c>
      <c r="K484" s="17">
        <f>IF(L484="Sim","Perdido",IF(J484="","",IF(J484&lt;TODAY(),"ATRASADO",IF(J484=TODAY(),"Hoje","Em dia"))))</f>
        <v/>
      </c>
      <c r="L484" s="14" t="n"/>
      <c r="M484" s="14" t="n"/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5">
        <f>IF(G485="","",CHOOSE(G485,"Lead","Atendimento","Visita","Proposta","Venda"))</f>
        <v/>
      </c>
      <c r="I485" s="13" t="n"/>
      <c r="J485" s="16">
        <f>IF(OR(G485="",I485="",L485="Sim"),"",I485+VLOOKUP(G485,$M$3:$N$7,2,FALSE))</f>
        <v/>
      </c>
      <c r="K485" s="17">
        <f>IF(L485="Sim","Perdido",IF(J485="","",IF(J485&lt;TODAY(),"ATRASADO",IF(J485=TODAY(),"Hoje","Em dia"))))</f>
        <v/>
      </c>
      <c r="L485" s="14" t="n"/>
      <c r="M485" s="14" t="n"/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5">
        <f>IF(G486="","",CHOOSE(G486,"Lead","Atendimento","Visita","Proposta","Venda"))</f>
        <v/>
      </c>
      <c r="I486" s="13" t="n"/>
      <c r="J486" s="16">
        <f>IF(OR(G486="",I486="",L486="Sim"),"",I486+VLOOKUP(G486,$M$3:$N$7,2,FALSE))</f>
        <v/>
      </c>
      <c r="K486" s="17">
        <f>IF(L486="Sim","Perdido",IF(J486="","",IF(J486&lt;TODAY(),"ATRASADO",IF(J486=TODAY(),"Hoje","Em dia"))))</f>
        <v/>
      </c>
      <c r="L486" s="14" t="n"/>
      <c r="M486" s="14" t="n"/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5">
        <f>IF(G487="","",CHOOSE(G487,"Lead","Atendimento","Visita","Proposta","Venda"))</f>
        <v/>
      </c>
      <c r="I487" s="13" t="n"/>
      <c r="J487" s="16">
        <f>IF(OR(G487="",I487="",L487="Sim"),"",I487+VLOOKUP(G487,$M$3:$N$7,2,FALSE))</f>
        <v/>
      </c>
      <c r="K487" s="17">
        <f>IF(L487="Sim","Perdido",IF(J487="","",IF(J487&lt;TODAY(),"ATRASADO",IF(J487=TODAY(),"Hoje","Em dia"))))</f>
        <v/>
      </c>
      <c r="L487" s="14" t="n"/>
      <c r="M487" s="14" t="n"/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5">
        <f>IF(G488="","",CHOOSE(G488,"Lead","Atendimento","Visita","Proposta","Venda"))</f>
        <v/>
      </c>
      <c r="I488" s="13" t="n"/>
      <c r="J488" s="16">
        <f>IF(OR(G488="",I488="",L488="Sim"),"",I488+VLOOKUP(G488,$M$3:$N$7,2,FALSE))</f>
        <v/>
      </c>
      <c r="K488" s="17">
        <f>IF(L488="Sim","Perdido",IF(J488="","",IF(J488&lt;TODAY(),"ATRASADO",IF(J488=TODAY(),"Hoje","Em dia"))))</f>
        <v/>
      </c>
      <c r="L488" s="14" t="n"/>
      <c r="M488" s="14" t="n"/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5">
        <f>IF(G489="","",CHOOSE(G489,"Lead","Atendimento","Visita","Proposta","Venda"))</f>
        <v/>
      </c>
      <c r="I489" s="13" t="n"/>
      <c r="J489" s="16">
        <f>IF(OR(G489="",I489="",L489="Sim"),"",I489+VLOOKUP(G489,$M$3:$N$7,2,FALSE))</f>
        <v/>
      </c>
      <c r="K489" s="17">
        <f>IF(L489="Sim","Perdido",IF(J489="","",IF(J489&lt;TODAY(),"ATRASADO",IF(J489=TODAY(),"Hoje","Em dia"))))</f>
        <v/>
      </c>
      <c r="L489" s="14" t="n"/>
      <c r="M489" s="14" t="n"/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5">
        <f>IF(G490="","",CHOOSE(G490,"Lead","Atendimento","Visita","Proposta","Venda"))</f>
        <v/>
      </c>
      <c r="I490" s="13" t="n"/>
      <c r="J490" s="16">
        <f>IF(OR(G490="",I490="",L490="Sim"),"",I490+VLOOKUP(G490,$M$3:$N$7,2,FALSE))</f>
        <v/>
      </c>
      <c r="K490" s="17">
        <f>IF(L490="Sim","Perdido",IF(J490="","",IF(J490&lt;TODAY(),"ATRASADO",IF(J490=TODAY(),"Hoje","Em dia"))))</f>
        <v/>
      </c>
      <c r="L490" s="14" t="n"/>
      <c r="M490" s="14" t="n"/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5">
        <f>IF(G491="","",CHOOSE(G491,"Lead","Atendimento","Visita","Proposta","Venda"))</f>
        <v/>
      </c>
      <c r="I491" s="13" t="n"/>
      <c r="J491" s="16">
        <f>IF(OR(G491="",I491="",L491="Sim"),"",I491+VLOOKUP(G491,$M$3:$N$7,2,FALSE))</f>
        <v/>
      </c>
      <c r="K491" s="17">
        <f>IF(L491="Sim","Perdido",IF(J491="","",IF(J491&lt;TODAY(),"ATRASADO",IF(J491=TODAY(),"Hoje","Em dia"))))</f>
        <v/>
      </c>
      <c r="L491" s="14" t="n"/>
      <c r="M491" s="14" t="n"/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5">
        <f>IF(G492="","",CHOOSE(G492,"Lead","Atendimento","Visita","Proposta","Venda"))</f>
        <v/>
      </c>
      <c r="I492" s="13" t="n"/>
      <c r="J492" s="16">
        <f>IF(OR(G492="",I492="",L492="Sim"),"",I492+VLOOKUP(G492,$M$3:$N$7,2,FALSE))</f>
        <v/>
      </c>
      <c r="K492" s="17">
        <f>IF(L492="Sim","Perdido",IF(J492="","",IF(J492&lt;TODAY(),"ATRASADO",IF(J492=TODAY(),"Hoje","Em dia"))))</f>
        <v/>
      </c>
      <c r="L492" s="14" t="n"/>
      <c r="M492" s="14" t="n"/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5">
        <f>IF(G493="","",CHOOSE(G493,"Lead","Atendimento","Visita","Proposta","Venda"))</f>
        <v/>
      </c>
      <c r="I493" s="13" t="n"/>
      <c r="J493" s="16">
        <f>IF(OR(G493="",I493="",L493="Sim"),"",I493+VLOOKUP(G493,$M$3:$N$7,2,FALSE))</f>
        <v/>
      </c>
      <c r="K493" s="17">
        <f>IF(L493="Sim","Perdido",IF(J493="","",IF(J493&lt;TODAY(),"ATRASADO",IF(J493=TODAY(),"Hoje","Em dia"))))</f>
        <v/>
      </c>
      <c r="L493" s="14" t="n"/>
      <c r="M493" s="14" t="n"/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5">
        <f>IF(G494="","",CHOOSE(G494,"Lead","Atendimento","Visita","Proposta","Venda"))</f>
        <v/>
      </c>
      <c r="I494" s="13" t="n"/>
      <c r="J494" s="16">
        <f>IF(OR(G494="",I494="",L494="Sim"),"",I494+VLOOKUP(G494,$M$3:$N$7,2,FALSE))</f>
        <v/>
      </c>
      <c r="K494" s="17">
        <f>IF(L494="Sim","Perdido",IF(J494="","",IF(J494&lt;TODAY(),"ATRASADO",IF(J494=TODAY(),"Hoje","Em dia"))))</f>
        <v/>
      </c>
      <c r="L494" s="14" t="n"/>
      <c r="M494" s="14" t="n"/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5">
        <f>IF(G495="","",CHOOSE(G495,"Lead","Atendimento","Visita","Proposta","Venda"))</f>
        <v/>
      </c>
      <c r="I495" s="13" t="n"/>
      <c r="J495" s="16">
        <f>IF(OR(G495="",I495="",L495="Sim"),"",I495+VLOOKUP(G495,$M$3:$N$7,2,FALSE))</f>
        <v/>
      </c>
      <c r="K495" s="17">
        <f>IF(L495="Sim","Perdido",IF(J495="","",IF(J495&lt;TODAY(),"ATRASADO",IF(J495=TODAY(),"Hoje","Em dia"))))</f>
        <v/>
      </c>
      <c r="L495" s="14" t="n"/>
      <c r="M495" s="14" t="n"/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5">
        <f>IF(G496="","",CHOOSE(G496,"Lead","Atendimento","Visita","Proposta","Venda"))</f>
        <v/>
      </c>
      <c r="I496" s="13" t="n"/>
      <c r="J496" s="16">
        <f>IF(OR(G496="",I496="",L496="Sim"),"",I496+VLOOKUP(G496,$M$3:$N$7,2,FALSE))</f>
        <v/>
      </c>
      <c r="K496" s="17">
        <f>IF(L496="Sim","Perdido",IF(J496="","",IF(J496&lt;TODAY(),"ATRASADO",IF(J496=TODAY(),"Hoje","Em dia"))))</f>
        <v/>
      </c>
      <c r="L496" s="14" t="n"/>
      <c r="M496" s="14" t="n"/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5">
        <f>IF(G497="","",CHOOSE(G497,"Lead","Atendimento","Visita","Proposta","Venda"))</f>
        <v/>
      </c>
      <c r="I497" s="13" t="n"/>
      <c r="J497" s="16">
        <f>IF(OR(G497="",I497="",L497="Sim"),"",I497+VLOOKUP(G497,$M$3:$N$7,2,FALSE))</f>
        <v/>
      </c>
      <c r="K497" s="17">
        <f>IF(L497="Sim","Perdido",IF(J497="","",IF(J497&lt;TODAY(),"ATRASADO",IF(J497=TODAY(),"Hoje","Em dia"))))</f>
        <v/>
      </c>
      <c r="L497" s="14" t="n"/>
      <c r="M497" s="14" t="n"/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5">
        <f>IF(G498="","",CHOOSE(G498,"Lead","Atendimento","Visita","Proposta","Venda"))</f>
        <v/>
      </c>
      <c r="I498" s="13" t="n"/>
      <c r="J498" s="16">
        <f>IF(OR(G498="",I498="",L498="Sim"),"",I498+VLOOKUP(G498,$M$3:$N$7,2,FALSE))</f>
        <v/>
      </c>
      <c r="K498" s="17">
        <f>IF(L498="Sim","Perdido",IF(J498="","",IF(J498&lt;TODAY(),"ATRASADO",IF(J498=TODAY(),"Hoje","Em dia"))))</f>
        <v/>
      </c>
      <c r="L498" s="14" t="n"/>
      <c r="M498" s="14" t="n"/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5">
        <f>IF(G499="","",CHOOSE(G499,"Lead","Atendimento","Visita","Proposta","Venda"))</f>
        <v/>
      </c>
      <c r="I499" s="13" t="n"/>
      <c r="J499" s="16">
        <f>IF(OR(G499="",I499="",L499="Sim"),"",I499+VLOOKUP(G499,$M$3:$N$7,2,FALSE))</f>
        <v/>
      </c>
      <c r="K499" s="17">
        <f>IF(L499="Sim","Perdido",IF(J499="","",IF(J499&lt;TODAY(),"ATRASADO",IF(J499=TODAY(),"Hoje","Em dia"))))</f>
        <v/>
      </c>
      <c r="L499" s="14" t="n"/>
      <c r="M499" s="14" t="n"/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5">
        <f>IF(G500="","",CHOOSE(G500,"Lead","Atendimento","Visita","Proposta","Venda"))</f>
        <v/>
      </c>
      <c r="I500" s="13" t="n"/>
      <c r="J500" s="16">
        <f>IF(OR(G500="",I500="",L500="Sim"),"",I500+VLOOKUP(G500,$M$3:$N$7,2,FALSE))</f>
        <v/>
      </c>
      <c r="K500" s="17">
        <f>IF(L500="Sim","Perdido",IF(J500="","",IF(J500&lt;TODAY(),"ATRASADO",IF(J500=TODAY(),"Hoje","Em dia"))))</f>
        <v/>
      </c>
      <c r="L500" s="14" t="n"/>
      <c r="M500" s="14" t="n"/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5">
        <f>IF(G501="","",CHOOSE(G501,"Lead","Atendimento","Visita","Proposta","Venda"))</f>
        <v/>
      </c>
      <c r="I501" s="13" t="n"/>
      <c r="J501" s="16">
        <f>IF(OR(G501="",I501="",L501="Sim"),"",I501+VLOOKUP(G501,$M$3:$N$7,2,FALSE))</f>
        <v/>
      </c>
      <c r="K501" s="17">
        <f>IF(L501="Sim","Perdido",IF(J501="","",IF(J501&lt;TODAY(),"ATRASADO",IF(J501=TODAY(),"Hoje","Em dia"))))</f>
        <v/>
      </c>
      <c r="L501" s="14" t="n"/>
      <c r="M501" s="14" t="n"/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5">
        <f>IF(G502="","",CHOOSE(G502,"Lead","Atendimento","Visita","Proposta","Venda"))</f>
        <v/>
      </c>
      <c r="I502" s="13" t="n"/>
      <c r="J502" s="16">
        <f>IF(OR(G502="",I502="",L502="Sim"),"",I502+VLOOKUP(G502,$M$3:$N$7,2,FALSE))</f>
        <v/>
      </c>
      <c r="K502" s="17">
        <f>IF(L502="Sim","Perdido",IF(J502="","",IF(J502&lt;TODAY(),"ATRASADO",IF(J502=TODAY(),"Hoje","Em dia"))))</f>
        <v/>
      </c>
      <c r="L502" s="14" t="n"/>
      <c r="M502" s="14" t="n"/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5">
        <f>IF(G503="","",CHOOSE(G503,"Lead","Atendimento","Visita","Proposta","Venda"))</f>
        <v/>
      </c>
      <c r="I503" s="13" t="n"/>
      <c r="J503" s="16">
        <f>IF(OR(G503="",I503="",L503="Sim"),"",I503+VLOOKUP(G503,$M$3:$N$7,2,FALSE))</f>
        <v/>
      </c>
      <c r="K503" s="17">
        <f>IF(L503="Sim","Perdido",IF(J503="","",IF(J503&lt;TODAY(),"ATRASADO",IF(J503=TODAY(),"Hoje","Em dia"))))</f>
        <v/>
      </c>
      <c r="L503" s="14" t="n"/>
      <c r="M503" s="14" t="n"/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5">
        <f>IF(G504="","",CHOOSE(G504,"Lead","Atendimento","Visita","Proposta","Venda"))</f>
        <v/>
      </c>
      <c r="I504" s="13" t="n"/>
      <c r="J504" s="16">
        <f>IF(OR(G504="",I504="",L504="Sim"),"",I504+VLOOKUP(G504,$M$3:$N$7,2,FALSE))</f>
        <v/>
      </c>
      <c r="K504" s="17">
        <f>IF(L504="Sim","Perdido",IF(J504="","",IF(J504&lt;TODAY(),"ATRASADO",IF(J504=TODAY(),"Hoje","Em dia"))))</f>
        <v/>
      </c>
      <c r="L504" s="14" t="n"/>
      <c r="M504" s="14" t="n"/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5">
        <f>IF(G505="","",CHOOSE(G505,"Lead","Atendimento","Visita","Proposta","Venda"))</f>
        <v/>
      </c>
      <c r="I505" s="13" t="n"/>
      <c r="J505" s="16">
        <f>IF(OR(G505="",I505="",L505="Sim"),"",I505+VLOOKUP(G505,$M$3:$N$7,2,FALSE))</f>
        <v/>
      </c>
      <c r="K505" s="17">
        <f>IF(L505="Sim","Perdido",IF(J505="","",IF(J505&lt;TODAY(),"ATRASADO",IF(J505=TODAY(),"Hoje","Em dia"))))</f>
        <v/>
      </c>
      <c r="L505" s="14" t="n"/>
      <c r="M505" s="14" t="n"/>
    </row>
    <row r="506">
      <c r="A506" s="13" t="n"/>
      <c r="B506" s="14" t="n"/>
      <c r="C506" s="14" t="n"/>
      <c r="D506" s="14" t="n"/>
      <c r="E506" s="14" t="n"/>
      <c r="F506" s="14" t="n"/>
      <c r="G506" s="14" t="n"/>
      <c r="H506" s="15">
        <f>IF(G506="","",CHOOSE(G506,"Lead","Atendimento","Visita","Proposta","Venda"))</f>
        <v/>
      </c>
      <c r="I506" s="13" t="n"/>
      <c r="J506" s="16">
        <f>IF(OR(G506="",I506="",L506="Sim"),"",I506+VLOOKUP(G506,$M$3:$N$7,2,FALSE))</f>
        <v/>
      </c>
      <c r="K506" s="17">
        <f>IF(L506="Sim","Perdido",IF(J506="","",IF(J506&lt;TODAY(),"ATRASADO",IF(J506=TODAY(),"Hoje","Em dia"))))</f>
        <v/>
      </c>
      <c r="L506" s="14" t="n"/>
      <c r="M506" s="14" t="n"/>
    </row>
    <row r="507">
      <c r="A507" s="13" t="n"/>
      <c r="B507" s="14" t="n"/>
      <c r="C507" s="14" t="n"/>
      <c r="D507" s="14" t="n"/>
      <c r="E507" s="14" t="n"/>
      <c r="F507" s="14" t="n"/>
      <c r="G507" s="14" t="n"/>
      <c r="H507" s="15">
        <f>IF(G507="","",CHOOSE(G507,"Lead","Atendimento","Visita","Proposta","Venda"))</f>
        <v/>
      </c>
      <c r="I507" s="13" t="n"/>
      <c r="J507" s="16">
        <f>IF(OR(G507="",I507="",L507="Sim"),"",I507+VLOOKUP(G507,$M$3:$N$7,2,FALSE))</f>
        <v/>
      </c>
      <c r="K507" s="17">
        <f>IF(L507="Sim","Perdido",IF(J507="","",IF(J507&lt;TODAY(),"ATRASADO",IF(J507=TODAY(),"Hoje","Em dia"))))</f>
        <v/>
      </c>
      <c r="L507" s="14" t="n"/>
      <c r="M507" s="14" t="n"/>
    </row>
    <row r="508">
      <c r="A508" s="13" t="n"/>
      <c r="B508" s="14" t="n"/>
      <c r="C508" s="14" t="n"/>
      <c r="D508" s="14" t="n"/>
      <c r="E508" s="14" t="n"/>
      <c r="F508" s="14" t="n"/>
      <c r="G508" s="14" t="n"/>
      <c r="H508" s="15">
        <f>IF(G508="","",CHOOSE(G508,"Lead","Atendimento","Visita","Proposta","Venda"))</f>
        <v/>
      </c>
      <c r="I508" s="13" t="n"/>
      <c r="J508" s="16">
        <f>IF(OR(G508="",I508="",L508="Sim"),"",I508+VLOOKUP(G508,$M$3:$N$7,2,FALSE))</f>
        <v/>
      </c>
      <c r="K508" s="17">
        <f>IF(L508="Sim","Perdido",IF(J508="","",IF(J508&lt;TODAY(),"ATRASADO",IF(J508=TODAY(),"Hoje","Em dia"))))</f>
        <v/>
      </c>
      <c r="L508" s="14" t="n"/>
      <c r="M508" s="14" t="n"/>
    </row>
    <row r="509">
      <c r="A509" s="13" t="n"/>
      <c r="B509" s="14" t="n"/>
      <c r="C509" s="14" t="n"/>
      <c r="D509" s="14" t="n"/>
      <c r="E509" s="14" t="n"/>
      <c r="F509" s="14" t="n"/>
      <c r="G509" s="14" t="n"/>
      <c r="H509" s="15">
        <f>IF(G509="","",CHOOSE(G509,"Lead","Atendimento","Visita","Proposta","Venda"))</f>
        <v/>
      </c>
      <c r="I509" s="13" t="n"/>
      <c r="J509" s="16">
        <f>IF(OR(G509="",I509="",L509="Sim"),"",I509+VLOOKUP(G509,$M$3:$N$7,2,FALSE))</f>
        <v/>
      </c>
      <c r="K509" s="17">
        <f>IF(L509="Sim","Perdido",IF(J509="","",IF(J509&lt;TODAY(),"ATRASADO",IF(J509=TODAY(),"Hoje","Em dia"))))</f>
        <v/>
      </c>
      <c r="L509" s="14" t="n"/>
      <c r="M509" s="14" t="n"/>
    </row>
  </sheetData>
  <autoFilter ref="A9:M509"/>
  <conditionalFormatting sqref="K10:K509">
    <cfRule type="expression" priority="1" dxfId="0">
      <formula>$K10="ATRASADO"</formula>
    </cfRule>
    <cfRule type="expression" priority="2" dxfId="1">
      <formula>$K10="Hoje"</formula>
    </cfRule>
    <cfRule type="expression" priority="3" dxfId="2">
      <formula>$K10="Em dia"</formula>
    </cfRule>
  </conditionalFormatting>
  <dataValidations count="4">
    <dataValidation sqref="D10:D509" showDropDown="0" showInputMessage="0" showErrorMessage="0" allowBlank="1" type="list">
      <formula1>"Portal,Instagram,Indicação,Placa,Site,WhatsApp,Parceiro,Outro"</formula1>
    </dataValidation>
    <dataValidation sqref="E10:E509" showDropDown="0" showInputMessage="0" showErrorMessage="0" allowBlank="1" type="list">
      <formula1>"Morar,Investir,Alugar,Vender"</formula1>
    </dataValidation>
    <dataValidation sqref="G10:G509" showDropDown="0" showInputMessage="0" showErrorMessage="0" allowBlank="1" type="list">
      <formula1>"1,2,3,4,5"</formula1>
    </dataValidation>
    <dataValidation sqref="L10:L509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8" customWidth="1" min="3" max="3"/>
  </cols>
  <sheetData>
    <row r="1">
      <c r="A1" s="1" t="inlineStr">
        <is>
          <t>Painel do funil</t>
        </is>
      </c>
    </row>
    <row r="2">
      <c r="A2" s="2" t="inlineStr">
        <is>
          <t>Calculado a partir da aba Funil. Mostra suas taxas reais e o gargalo.</t>
        </is>
      </c>
    </row>
    <row r="4" ht="32" customHeight="1">
      <c r="A4" s="6" t="inlineStr">
        <is>
          <t>Etapa</t>
        </is>
      </c>
      <c r="B4" s="6" t="inlineStr">
        <is>
          <t>Chegaram a esta etapa</t>
        </is>
      </c>
      <c r="C4" s="6" t="inlineStr">
        <is>
          <t>Conversão da etapa anterior</t>
        </is>
      </c>
    </row>
    <row r="5">
      <c r="A5" s="7" t="inlineStr">
        <is>
          <t>Leads</t>
        </is>
      </c>
      <c r="B5" s="11">
        <f>COUNTIF(Funil!$G$10:$G$509,"&gt;=1")</f>
        <v/>
      </c>
    </row>
    <row r="6">
      <c r="A6" s="7" t="inlineStr">
        <is>
          <t>Atendimentos</t>
        </is>
      </c>
      <c r="B6" s="11">
        <f>COUNTIF(Funil!$G$10:$G$509,"&gt;=2")</f>
        <v/>
      </c>
      <c r="C6" s="18">
        <f>IF(B5=0,"",B6/B5)</f>
        <v/>
      </c>
    </row>
    <row r="7">
      <c r="A7" s="7" t="inlineStr">
        <is>
          <t>Visitas</t>
        </is>
      </c>
      <c r="B7" s="11">
        <f>COUNTIF(Funil!$G$10:$G$509,"&gt;=3")</f>
        <v/>
      </c>
      <c r="C7" s="18">
        <f>IF(B6=0,"",B7/B6)</f>
        <v/>
      </c>
    </row>
    <row r="8">
      <c r="A8" s="7" t="inlineStr">
        <is>
          <t>Propostas</t>
        </is>
      </c>
      <c r="B8" s="11">
        <f>COUNTIF(Funil!$G$10:$G$509,"&gt;=4")</f>
        <v/>
      </c>
      <c r="C8" s="18">
        <f>IF(B7=0,"",B8/B7)</f>
        <v/>
      </c>
    </row>
    <row r="9">
      <c r="A9" s="7" t="inlineStr">
        <is>
          <t>Vendas</t>
        </is>
      </c>
      <c r="B9" s="11">
        <f>COUNTIF(Funil!$G$10:$G$509,5)</f>
        <v/>
      </c>
      <c r="C9" s="18">
        <f>IF(B8=0,"",B9/B8)</f>
        <v/>
      </c>
    </row>
    <row r="11">
      <c r="A11" t="inlineStr">
        <is>
          <t>Leads atrasados (sem contato)</t>
        </is>
      </c>
      <c r="B11" s="11">
        <f>COUNTIF(Funil!$K$10:$K$509,"ATRASADO")</f>
        <v/>
      </c>
    </row>
    <row r="12">
      <c r="A12" t="inlineStr">
        <is>
          <t>Contatos para hoje</t>
        </is>
      </c>
      <c r="B12" s="11">
        <f>COUNTIF(Funil!$K$10:$K$509,"Hoje")</f>
        <v/>
      </c>
    </row>
    <row r="13">
      <c r="A13" t="inlineStr">
        <is>
          <t>Leads perdidos</t>
        </is>
      </c>
      <c r="B13" s="11">
        <f>COUNTIF(Funil!$L$10:$L$509,"Sim")</f>
        <v/>
      </c>
    </row>
    <row r="15">
      <c r="A15" s="7" t="inlineStr">
        <is>
          <t>GARGALO (menor conversão)</t>
        </is>
      </c>
      <c r="B15" s="17">
        <f>IF(COUNT(C6:C9)&lt;4,"Registre mais leads para calcular",INDEX(A6:A9,MATCH(MIN(C6:C9),C6:C9,0)))</f>
        <v/>
      </c>
    </row>
    <row r="17">
      <c r="A17" s="2" t="inlineStr">
        <is>
          <t>Gargalo em Atendimentos: responda mais rápido. Em Visitas: qualifique melhor. Em Propostas: melhore a visita. Em Vendas: preço e negociação.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2" customWidth="1" min="4" max="4"/>
    <col width="8" customWidth="1" min="5" max="5"/>
    <col width="14" customWidth="1" min="6" max="6"/>
    <col width="14" customWidth="1" min="7" max="7"/>
  </cols>
  <sheetData>
    <row r="1">
      <c r="A1" s="1" t="inlineStr">
        <is>
          <t>Análise comparativa de mercado (ACM)</t>
        </is>
      </c>
    </row>
    <row r="2">
      <c r="A2" s="2" t="inlineStr">
        <is>
          <t>Use de 5 a 10 imóveis parecidos. Marque 'Não' em 'Usar?' para descartar extremos.</t>
        </is>
      </c>
    </row>
    <row r="4">
      <c r="A4" t="inlineStr">
        <is>
          <t>Imóvel avaliado</t>
        </is>
      </c>
      <c r="B4" s="14" t="inlineStr">
        <is>
          <t>Apto 2 dorms, Rua X (exemplo)</t>
        </is>
      </c>
    </row>
    <row r="5">
      <c r="A5" t="inlineStr">
        <is>
          <t>Área (m²)</t>
        </is>
      </c>
      <c r="B5" s="12" t="n">
        <v>65</v>
      </c>
    </row>
    <row r="6">
      <c r="A6" t="inlineStr">
        <is>
          <t>Ajuste (%) para diferenças: andar, vaga, reforma, sol...</t>
        </is>
      </c>
      <c r="B6" s="5" t="n">
        <v>0</v>
      </c>
      <c r="C6" s="2" t="inlineStr">
        <is>
          <t>Ex.: +5% se o avaliado é reformado e os demais não; −5% se não tem vaga.</t>
        </is>
      </c>
    </row>
    <row r="8" ht="32" customHeight="1">
      <c r="A8" s="6" t="inlineStr">
        <is>
          <t>Endereço / condomínio</t>
        </is>
      </c>
      <c r="B8" s="6" t="inlineStr">
        <is>
          <t>Área (m²)</t>
        </is>
      </c>
      <c r="C8" s="6" t="inlineStr">
        <is>
          <t>Preço (R$)</t>
        </is>
      </c>
      <c r="D8" s="6" t="inlineStr">
        <is>
          <t>Fonte</t>
        </is>
      </c>
      <c r="E8" s="6" t="inlineStr">
        <is>
          <t>Usar?</t>
        </is>
      </c>
      <c r="F8" s="6" t="inlineStr">
        <is>
          <t>Preço por m²</t>
        </is>
      </c>
      <c r="G8" s="6" t="inlineStr">
        <is>
          <t>Considerado</t>
        </is>
      </c>
    </row>
    <row r="9">
      <c r="A9" s="14" t="inlineStr">
        <is>
          <t>Cond. A (exemplo)</t>
        </is>
      </c>
      <c r="B9" s="12" t="n">
        <v>62</v>
      </c>
      <c r="C9" s="4" t="n">
        <v>520000</v>
      </c>
      <c r="D9" s="14" t="inlineStr">
        <is>
          <t>Anúncio</t>
        </is>
      </c>
      <c r="E9" s="14" t="inlineStr">
        <is>
          <t>Sim</t>
        </is>
      </c>
      <c r="F9" s="19">
        <f>IF(OR(B9="",C9="",B9=0),"",C9/B9)</f>
        <v/>
      </c>
      <c r="G9" s="19">
        <f>IF(AND(E9="Sim",F9&lt;&gt;""),F9,"")</f>
        <v/>
      </c>
    </row>
    <row r="10">
      <c r="A10" s="14" t="inlineStr">
        <is>
          <t>Cond. B (exemplo)</t>
        </is>
      </c>
      <c r="B10" s="12" t="n">
        <v>70</v>
      </c>
      <c r="C10" s="4" t="n">
        <v>560000</v>
      </c>
      <c r="D10" s="14" t="inlineStr">
        <is>
          <t>Anúncio</t>
        </is>
      </c>
      <c r="E10" s="14" t="inlineStr">
        <is>
          <t>Sim</t>
        </is>
      </c>
      <c r="F10" s="19">
        <f>IF(OR(B10="",C10="",B10=0),"",C10/B10)</f>
        <v/>
      </c>
      <c r="G10" s="19">
        <f>IF(AND(E10="Sim",F10&lt;&gt;""),F10,"")</f>
        <v/>
      </c>
    </row>
    <row r="11">
      <c r="A11" s="14" t="inlineStr">
        <is>
          <t>Cond. C (exemplo)</t>
        </is>
      </c>
      <c r="B11" s="12" t="n">
        <v>64</v>
      </c>
      <c r="C11" s="4" t="n">
        <v>505000</v>
      </c>
      <c r="D11" s="14" t="inlineStr">
        <is>
          <t>Anúncio</t>
        </is>
      </c>
      <c r="E11" s="14" t="inlineStr">
        <is>
          <t>Sim</t>
        </is>
      </c>
      <c r="F11" s="19">
        <f>IF(OR(B11="",C11="",B11=0),"",C11/B11)</f>
        <v/>
      </c>
      <c r="G11" s="19">
        <f>IF(AND(E11="Sim",F11&lt;&gt;""),F11,"")</f>
        <v/>
      </c>
    </row>
    <row r="12">
      <c r="A12" s="14" t="inlineStr">
        <is>
          <t>Cond. D (exemplo)</t>
        </is>
      </c>
      <c r="B12" s="12" t="n">
        <v>68</v>
      </c>
      <c r="C12" s="4" t="n">
        <v>590000</v>
      </c>
      <c r="D12" s="14" t="inlineStr">
        <is>
          <t>Anúncio</t>
        </is>
      </c>
      <c r="E12" s="14" t="inlineStr">
        <is>
          <t>Sim</t>
        </is>
      </c>
      <c r="F12" s="19">
        <f>IF(OR(B12="",C12="",B12=0),"",C12/B12)</f>
        <v/>
      </c>
      <c r="G12" s="19">
        <f>IF(AND(E12="Sim",F12&lt;&gt;""),F12,"")</f>
        <v/>
      </c>
    </row>
    <row r="13">
      <c r="A13" s="14" t="inlineStr">
        <is>
          <t>Cond. E (exemplo)</t>
        </is>
      </c>
      <c r="B13" s="12" t="n">
        <v>60</v>
      </c>
      <c r="C13" s="4" t="n">
        <v>470000</v>
      </c>
      <c r="D13" s="14" t="inlineStr">
        <is>
          <t>Anúncio</t>
        </is>
      </c>
      <c r="E13" s="14" t="inlineStr">
        <is>
          <t>Sim</t>
        </is>
      </c>
      <c r="F13" s="19">
        <f>IF(OR(B13="",C13="",B13=0),"",C13/B13)</f>
        <v/>
      </c>
      <c r="G13" s="19">
        <f>IF(AND(E13="Sim",F13&lt;&gt;""),F13,"")</f>
        <v/>
      </c>
    </row>
    <row r="14">
      <c r="A14" s="14" t="n"/>
      <c r="B14" s="12" t="n"/>
      <c r="C14" s="4" t="n"/>
      <c r="D14" s="14" t="n"/>
      <c r="E14" s="14" t="n"/>
      <c r="F14" s="19">
        <f>IF(OR(B14="",C14="",B14=0),"",C14/B14)</f>
        <v/>
      </c>
      <c r="G14" s="19">
        <f>IF(AND(E14="Sim",F14&lt;&gt;""),F14,"")</f>
        <v/>
      </c>
    </row>
    <row r="15">
      <c r="A15" s="14" t="n"/>
      <c r="B15" s="12" t="n"/>
      <c r="C15" s="4" t="n"/>
      <c r="D15" s="14" t="n"/>
      <c r="E15" s="14" t="n"/>
      <c r="F15" s="19">
        <f>IF(OR(B15="",C15="",B15=0),"",C15/B15)</f>
        <v/>
      </c>
      <c r="G15" s="19">
        <f>IF(AND(E15="Sim",F15&lt;&gt;""),F15,"")</f>
        <v/>
      </c>
    </row>
    <row r="16">
      <c r="A16" s="14" t="n"/>
      <c r="B16" s="12" t="n"/>
      <c r="C16" s="4" t="n"/>
      <c r="D16" s="14" t="n"/>
      <c r="E16" s="14" t="n"/>
      <c r="F16" s="19">
        <f>IF(OR(B16="",C16="",B16=0),"",C16/B16)</f>
        <v/>
      </c>
      <c r="G16" s="19">
        <f>IF(AND(E16="Sim",F16&lt;&gt;""),F16,"")</f>
        <v/>
      </c>
    </row>
    <row r="17">
      <c r="A17" s="14" t="n"/>
      <c r="B17" s="12" t="n"/>
      <c r="C17" s="4" t="n"/>
      <c r="D17" s="14" t="n"/>
      <c r="E17" s="14" t="n"/>
      <c r="F17" s="19">
        <f>IF(OR(B17="",C17="",B17=0),"",C17/B17)</f>
        <v/>
      </c>
      <c r="G17" s="19">
        <f>IF(AND(E17="Sim",F17&lt;&gt;""),F17,"")</f>
        <v/>
      </c>
    </row>
    <row r="18">
      <c r="A18" s="14" t="n"/>
      <c r="B18" s="12" t="n"/>
      <c r="C18" s="4" t="n"/>
      <c r="D18" s="14" t="n"/>
      <c r="E18" s="14" t="n"/>
      <c r="F18" s="19">
        <f>IF(OR(B18="",C18="",B18=0),"",C18/B18)</f>
        <v/>
      </c>
      <c r="G18" s="19">
        <f>IF(AND(E18="Sim",F18&lt;&gt;""),F18,"")</f>
        <v/>
      </c>
    </row>
    <row r="19">
      <c r="A19" s="14" t="n"/>
      <c r="B19" s="12" t="n"/>
      <c r="C19" s="4" t="n"/>
      <c r="D19" s="14" t="n"/>
      <c r="E19" s="14" t="n"/>
      <c r="F19" s="19">
        <f>IF(OR(B19="",C19="",B19=0),"",C19/B19)</f>
        <v/>
      </c>
      <c r="G19" s="19">
        <f>IF(AND(E19="Sim",F19&lt;&gt;""),F19,"")</f>
        <v/>
      </c>
    </row>
    <row r="20">
      <c r="A20" s="14" t="n"/>
      <c r="B20" s="12" t="n"/>
      <c r="C20" s="4" t="n"/>
      <c r="D20" s="14" t="n"/>
      <c r="E20" s="14" t="n"/>
      <c r="F20" s="19">
        <f>IF(OR(B20="",C20="",B20=0),"",C20/B20)</f>
        <v/>
      </c>
      <c r="G20" s="19">
        <f>IF(AND(E20="Sim",F20&lt;&gt;""),F20,"")</f>
        <v/>
      </c>
    </row>
    <row r="23">
      <c r="A23" s="7" t="inlineStr">
        <is>
          <t>Comparáveis considerados</t>
        </is>
      </c>
      <c r="B23" s="11">
        <f>COUNT(G9:G20)</f>
        <v/>
      </c>
    </row>
    <row r="24">
      <c r="A24" s="7" t="inlineStr">
        <is>
          <t>Menor preço por m²</t>
        </is>
      </c>
      <c r="B24" s="8">
        <f>IF(B23=0,"",MIN(G9:G20))</f>
        <v/>
      </c>
    </row>
    <row r="25">
      <c r="A25" s="7" t="inlineStr">
        <is>
          <t>Maior preço por m²</t>
        </is>
      </c>
      <c r="B25" s="8">
        <f>IF(B23=0,"",MAX(G9:G20))</f>
        <v/>
      </c>
    </row>
    <row r="26">
      <c r="A26" s="7" t="inlineStr">
        <is>
          <t>Média do m²</t>
        </is>
      </c>
      <c r="B26" s="8">
        <f>IF(B23=0,"",AVERAGE(G9:G20))</f>
        <v/>
      </c>
    </row>
    <row r="27">
      <c r="A27" s="7" t="inlineStr">
        <is>
          <t>Mediana do m² (mais confiável)</t>
        </is>
      </c>
      <c r="B27" s="8">
        <f>IF(B23=0,"",MEDIAN(G9:G20))</f>
        <v/>
      </c>
    </row>
    <row r="28">
      <c r="A28" s="7" t="inlineStr">
        <is>
          <t>VALOR DE REFERÊNCIA</t>
        </is>
      </c>
      <c r="B28" s="8">
        <f>IF(B23=0,"",B27*B5*(1+B6))</f>
        <v/>
      </c>
    </row>
    <row r="29">
      <c r="A29" s="7" t="inlineStr">
        <is>
          <t>Faixa sugerida: de</t>
        </is>
      </c>
      <c r="B29" s="8">
        <f>IF(B23=0,"",B28*0.95)</f>
        <v/>
      </c>
    </row>
    <row r="30">
      <c r="A30" s="7" t="inlineStr">
        <is>
          <t>Faixa sugerida: até</t>
        </is>
      </c>
      <c r="B30" s="8">
        <f>IF(B23=0,"",B28*1.05)</f>
        <v/>
      </c>
    </row>
    <row r="32">
      <c r="A32" s="2" t="inlineStr">
        <is>
          <t>Preço de anúncio costuma ter margem de negociação. Sempre que tiver valores de venda real, prefira-os. Leve o resultado ao Prompt 7.</t>
        </is>
      </c>
    </row>
  </sheetData>
  <dataValidations count="2">
    <dataValidation sqref="D9:D20" showDropDown="0" showInputMessage="0" showErrorMessage="0" allowBlank="1" type="list">
      <formula1>"Anúncio,Venda real"</formula1>
    </dataValidation>
    <dataValidation sqref="E9:E2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5" customWidth="1" min="4" max="4"/>
    <col width="14" customWidth="1" min="5" max="5"/>
    <col width="10" customWidth="1" min="6" max="6"/>
    <col width="10" customWidth="1" min="7" max="7"/>
    <col width="15" customWidth="1" min="8" max="8"/>
    <col width="10" customWidth="1" min="9" max="9"/>
    <col width="9" customWidth="1" min="10" max="10"/>
    <col width="10" customWidth="1" min="11" max="11"/>
    <col width="30" customWidth="1" min="12" max="12"/>
  </cols>
  <sheetData>
    <row r="1">
      <c r="A1" s="1" t="inlineStr">
        <is>
          <t>Captações e exclusividades</t>
        </is>
      </c>
    </row>
    <row r="2">
      <c r="A2" s="2" t="inlineStr">
        <is>
          <t>Alertas automáticos: exclusividade vencendo e imóvel parado que precisa de revisão de preço.</t>
        </is>
      </c>
    </row>
    <row r="4" ht="36" customHeight="1">
      <c r="A4" s="6" t="inlineStr">
        <is>
          <t>Imóvel</t>
        </is>
      </c>
      <c r="B4" s="6" t="inlineStr">
        <is>
          <t>Proprietário</t>
        </is>
      </c>
      <c r="C4" s="6" t="inlineStr">
        <is>
          <t>Bairro</t>
        </is>
      </c>
      <c r="D4" s="6" t="inlineStr">
        <is>
          <t>Preço anunciado</t>
        </is>
      </c>
      <c r="E4" s="6" t="inlineStr">
        <is>
          <t>Data da captação</t>
        </is>
      </c>
      <c r="F4" s="6" t="inlineStr">
        <is>
          <t>Exclusivo?</t>
        </is>
      </c>
      <c r="G4" s="6" t="inlineStr">
        <is>
          <t>Prazo (dias)</t>
        </is>
      </c>
      <c r="H4" s="6" t="inlineStr">
        <is>
          <t>Exclusividade até</t>
        </is>
      </c>
      <c r="I4" s="6" t="inlineStr">
        <is>
          <t>Dias anunciado</t>
        </is>
      </c>
      <c r="J4" s="6" t="inlineStr">
        <is>
          <t>Visitas</t>
        </is>
      </c>
      <c r="K4" s="6" t="inlineStr">
        <is>
          <t>Propostas</t>
        </is>
      </c>
      <c r="L4" s="6" t="inlineStr">
        <is>
          <t>Alerta</t>
        </is>
      </c>
    </row>
    <row r="5">
      <c r="A5" s="14" t="inlineStr">
        <is>
          <t>Apto 2 dorms (exemplo)</t>
        </is>
      </c>
      <c r="B5" s="14" t="n"/>
      <c r="C5" s="14" t="inlineStr">
        <is>
          <t>Tatuapé</t>
        </is>
      </c>
      <c r="D5" s="4" t="n">
        <v>540000</v>
      </c>
      <c r="E5" s="13">
        <f>TODAY()-40</f>
        <v/>
      </c>
      <c r="F5" s="14" t="inlineStr">
        <is>
          <t>Sim</t>
        </is>
      </c>
      <c r="G5" s="12" t="n">
        <v>90</v>
      </c>
      <c r="H5" s="16">
        <f>IF(OR(F5&lt;&gt;"Sim",E5="",G5=""),"",E5+G5)</f>
        <v/>
      </c>
      <c r="I5" s="20">
        <f>IF(E5="","",TODAY()-E5)</f>
        <v/>
      </c>
      <c r="J5" s="12" t="n">
        <v>2</v>
      </c>
      <c r="K5" s="12" t="n">
        <v>0</v>
      </c>
      <c r="L5" s="17">
        <f>IF(E5="","",IF(AND(H5&lt;&gt;"",H5&lt;TODAY()),"Exclusividade vencida",IF(AND(H5&lt;&gt;"",H5-TODAY()&lt;=15),"Renovar exclusividade",IF(AND(I5&gt;=30,N(J5)&lt;3),"Revisar preço (poucas visitas)",IF(AND(I5&gt;=60,N(K5)=0),"Revisar preço (sem propostas)","OK")))))</f>
        <v/>
      </c>
    </row>
    <row r="6">
      <c r="A6" s="14" t="n"/>
      <c r="B6" s="14" t="n"/>
      <c r="C6" s="14" t="n"/>
      <c r="D6" s="4" t="n"/>
      <c r="E6" s="13" t="n"/>
      <c r="F6" s="14" t="n"/>
      <c r="G6" s="12" t="n"/>
      <c r="H6" s="16">
        <f>IF(OR(F6&lt;&gt;"Sim",E6="",G6=""),"",E6+G6)</f>
        <v/>
      </c>
      <c r="I6" s="20">
        <f>IF(E6="","",TODAY()-E6)</f>
        <v/>
      </c>
      <c r="J6" s="12" t="n"/>
      <c r="K6" s="12" t="n"/>
      <c r="L6" s="17">
        <f>IF(E6="","",IF(AND(H6&lt;&gt;"",H6&lt;TODAY()),"Exclusividade vencida",IF(AND(H6&lt;&gt;"",H6-TODAY()&lt;=15),"Renovar exclusividade",IF(AND(I6&gt;=30,N(J6)&lt;3),"Revisar preço (poucas visitas)",IF(AND(I6&gt;=60,N(K6)=0),"Revisar preço (sem propostas)","OK")))))</f>
        <v/>
      </c>
    </row>
    <row r="7">
      <c r="A7" s="14" t="n"/>
      <c r="B7" s="14" t="n"/>
      <c r="C7" s="14" t="n"/>
      <c r="D7" s="4" t="n"/>
      <c r="E7" s="13" t="n"/>
      <c r="F7" s="14" t="n"/>
      <c r="G7" s="12" t="n"/>
      <c r="H7" s="16">
        <f>IF(OR(F7&lt;&gt;"Sim",E7="",G7=""),"",E7+G7)</f>
        <v/>
      </c>
      <c r="I7" s="20">
        <f>IF(E7="","",TODAY()-E7)</f>
        <v/>
      </c>
      <c r="J7" s="12" t="n"/>
      <c r="K7" s="12" t="n"/>
      <c r="L7" s="17">
        <f>IF(E7="","",IF(AND(H7&lt;&gt;"",H7&lt;TODAY()),"Exclusividade vencida",IF(AND(H7&lt;&gt;"",H7-TODAY()&lt;=15),"Renovar exclusividade",IF(AND(I7&gt;=30,N(J7)&lt;3),"Revisar preço (poucas visitas)",IF(AND(I7&gt;=60,N(K7)=0),"Revisar preço (sem propostas)","OK")))))</f>
        <v/>
      </c>
    </row>
    <row r="8">
      <c r="A8" s="14" t="n"/>
      <c r="B8" s="14" t="n"/>
      <c r="C8" s="14" t="n"/>
      <c r="D8" s="4" t="n"/>
      <c r="E8" s="13" t="n"/>
      <c r="F8" s="14" t="n"/>
      <c r="G8" s="12" t="n"/>
      <c r="H8" s="16">
        <f>IF(OR(F8&lt;&gt;"Sim",E8="",G8=""),"",E8+G8)</f>
        <v/>
      </c>
      <c r="I8" s="20">
        <f>IF(E8="","",TODAY()-E8)</f>
        <v/>
      </c>
      <c r="J8" s="12" t="n"/>
      <c r="K8" s="12" t="n"/>
      <c r="L8" s="17">
        <f>IF(E8="","",IF(AND(H8&lt;&gt;"",H8&lt;TODAY()),"Exclusividade vencida",IF(AND(H8&lt;&gt;"",H8-TODAY()&lt;=15),"Renovar exclusividade",IF(AND(I8&gt;=30,N(J8)&lt;3),"Revisar preço (poucas visitas)",IF(AND(I8&gt;=60,N(K8)=0),"Revisar preço (sem propostas)","OK")))))</f>
        <v/>
      </c>
    </row>
    <row r="9">
      <c r="A9" s="14" t="n"/>
      <c r="B9" s="14" t="n"/>
      <c r="C9" s="14" t="n"/>
      <c r="D9" s="4" t="n"/>
      <c r="E9" s="13" t="n"/>
      <c r="F9" s="14" t="n"/>
      <c r="G9" s="12" t="n"/>
      <c r="H9" s="16">
        <f>IF(OR(F9&lt;&gt;"Sim",E9="",G9=""),"",E9+G9)</f>
        <v/>
      </c>
      <c r="I9" s="20">
        <f>IF(E9="","",TODAY()-E9)</f>
        <v/>
      </c>
      <c r="J9" s="12" t="n"/>
      <c r="K9" s="12" t="n"/>
      <c r="L9" s="17">
        <f>IF(E9="","",IF(AND(H9&lt;&gt;"",H9&lt;TODAY()),"Exclusividade vencida",IF(AND(H9&lt;&gt;"",H9-TODAY()&lt;=15),"Renovar exclusividade",IF(AND(I9&gt;=30,N(J9)&lt;3),"Revisar preço (poucas visitas)",IF(AND(I9&gt;=60,N(K9)=0),"Revisar preço (sem propostas)","OK")))))</f>
        <v/>
      </c>
    </row>
    <row r="10">
      <c r="A10" s="14" t="n"/>
      <c r="B10" s="14" t="n"/>
      <c r="C10" s="14" t="n"/>
      <c r="D10" s="4" t="n"/>
      <c r="E10" s="13" t="n"/>
      <c r="F10" s="14" t="n"/>
      <c r="G10" s="12" t="n"/>
      <c r="H10" s="16">
        <f>IF(OR(F10&lt;&gt;"Sim",E10="",G10=""),"",E10+G10)</f>
        <v/>
      </c>
      <c r="I10" s="20">
        <f>IF(E10="","",TODAY()-E10)</f>
        <v/>
      </c>
      <c r="J10" s="12" t="n"/>
      <c r="K10" s="12" t="n"/>
      <c r="L10" s="17">
        <f>IF(E10="","",IF(AND(H10&lt;&gt;"",H10&lt;TODAY()),"Exclusividade vencida",IF(AND(H10&lt;&gt;"",H10-TODAY()&lt;=15),"Renovar exclusividade",IF(AND(I10&gt;=30,N(J10)&lt;3),"Revisar preço (poucas visitas)",IF(AND(I10&gt;=60,N(K10)=0),"Revisar preço (sem propostas)","OK")))))</f>
        <v/>
      </c>
    </row>
    <row r="11">
      <c r="A11" s="14" t="n"/>
      <c r="B11" s="14" t="n"/>
      <c r="C11" s="14" t="n"/>
      <c r="D11" s="4" t="n"/>
      <c r="E11" s="13" t="n"/>
      <c r="F11" s="14" t="n"/>
      <c r="G11" s="12" t="n"/>
      <c r="H11" s="16">
        <f>IF(OR(F11&lt;&gt;"Sim",E11="",G11=""),"",E11+G11)</f>
        <v/>
      </c>
      <c r="I11" s="20">
        <f>IF(E11="","",TODAY()-E11)</f>
        <v/>
      </c>
      <c r="J11" s="12" t="n"/>
      <c r="K11" s="12" t="n"/>
      <c r="L11" s="17">
        <f>IF(E11="","",IF(AND(H11&lt;&gt;"",H11&lt;TODAY()),"Exclusividade vencida",IF(AND(H11&lt;&gt;"",H11-TODAY()&lt;=15),"Renovar exclusividade",IF(AND(I11&gt;=30,N(J11)&lt;3),"Revisar preço (poucas visitas)",IF(AND(I11&gt;=60,N(K11)=0),"Revisar preço (sem propostas)","OK")))))</f>
        <v/>
      </c>
    </row>
    <row r="12">
      <c r="A12" s="14" t="n"/>
      <c r="B12" s="14" t="n"/>
      <c r="C12" s="14" t="n"/>
      <c r="D12" s="4" t="n"/>
      <c r="E12" s="13" t="n"/>
      <c r="F12" s="14" t="n"/>
      <c r="G12" s="12" t="n"/>
      <c r="H12" s="16">
        <f>IF(OR(F12&lt;&gt;"Sim",E12="",G12=""),"",E12+G12)</f>
        <v/>
      </c>
      <c r="I12" s="20">
        <f>IF(E12="","",TODAY()-E12)</f>
        <v/>
      </c>
      <c r="J12" s="12" t="n"/>
      <c r="K12" s="12" t="n"/>
      <c r="L12" s="17">
        <f>IF(E12="","",IF(AND(H12&lt;&gt;"",H12&lt;TODAY()),"Exclusividade vencida",IF(AND(H12&lt;&gt;"",H12-TODAY()&lt;=15),"Renovar exclusividade",IF(AND(I12&gt;=30,N(J12)&lt;3),"Revisar preço (poucas visitas)",IF(AND(I12&gt;=60,N(K12)=0),"Revisar preço (sem propostas)","OK")))))</f>
        <v/>
      </c>
    </row>
    <row r="13">
      <c r="A13" s="14" t="n"/>
      <c r="B13" s="14" t="n"/>
      <c r="C13" s="14" t="n"/>
      <c r="D13" s="4" t="n"/>
      <c r="E13" s="13" t="n"/>
      <c r="F13" s="14" t="n"/>
      <c r="G13" s="12" t="n"/>
      <c r="H13" s="16">
        <f>IF(OR(F13&lt;&gt;"Sim",E13="",G13=""),"",E13+G13)</f>
        <v/>
      </c>
      <c r="I13" s="20">
        <f>IF(E13="","",TODAY()-E13)</f>
        <v/>
      </c>
      <c r="J13" s="12" t="n"/>
      <c r="K13" s="12" t="n"/>
      <c r="L13" s="17">
        <f>IF(E13="","",IF(AND(H13&lt;&gt;"",H13&lt;TODAY()),"Exclusividade vencida",IF(AND(H13&lt;&gt;"",H13-TODAY()&lt;=15),"Renovar exclusividade",IF(AND(I13&gt;=30,N(J13)&lt;3),"Revisar preço (poucas visitas)",IF(AND(I13&gt;=60,N(K13)=0),"Revisar preço (sem propostas)","OK")))))</f>
        <v/>
      </c>
    </row>
    <row r="14">
      <c r="A14" s="14" t="n"/>
      <c r="B14" s="14" t="n"/>
      <c r="C14" s="14" t="n"/>
      <c r="D14" s="4" t="n"/>
      <c r="E14" s="13" t="n"/>
      <c r="F14" s="14" t="n"/>
      <c r="G14" s="12" t="n"/>
      <c r="H14" s="16">
        <f>IF(OR(F14&lt;&gt;"Sim",E14="",G14=""),"",E14+G14)</f>
        <v/>
      </c>
      <c r="I14" s="20">
        <f>IF(E14="","",TODAY()-E14)</f>
        <v/>
      </c>
      <c r="J14" s="12" t="n"/>
      <c r="K14" s="12" t="n"/>
      <c r="L14" s="17">
        <f>IF(E14="","",IF(AND(H14&lt;&gt;"",H14&lt;TODAY()),"Exclusividade vencida",IF(AND(H14&lt;&gt;"",H14-TODAY()&lt;=15),"Renovar exclusividade",IF(AND(I14&gt;=30,N(J14)&lt;3),"Revisar preço (poucas visitas)",IF(AND(I14&gt;=60,N(K14)=0),"Revisar preço (sem propostas)","OK")))))</f>
        <v/>
      </c>
    </row>
    <row r="15">
      <c r="A15" s="14" t="n"/>
      <c r="B15" s="14" t="n"/>
      <c r="C15" s="14" t="n"/>
      <c r="D15" s="4" t="n"/>
      <c r="E15" s="13" t="n"/>
      <c r="F15" s="14" t="n"/>
      <c r="G15" s="12" t="n"/>
      <c r="H15" s="16">
        <f>IF(OR(F15&lt;&gt;"Sim",E15="",G15=""),"",E15+G15)</f>
        <v/>
      </c>
      <c r="I15" s="20">
        <f>IF(E15="","",TODAY()-E15)</f>
        <v/>
      </c>
      <c r="J15" s="12" t="n"/>
      <c r="K15" s="12" t="n"/>
      <c r="L15" s="17">
        <f>IF(E15="","",IF(AND(H15&lt;&gt;"",H15&lt;TODAY()),"Exclusividade vencida",IF(AND(H15&lt;&gt;"",H15-TODAY()&lt;=15),"Renovar exclusividade",IF(AND(I15&gt;=30,N(J15)&lt;3),"Revisar preço (poucas visitas)",IF(AND(I15&gt;=60,N(K15)=0),"Revisar preço (sem propostas)","OK")))))</f>
        <v/>
      </c>
    </row>
    <row r="16">
      <c r="A16" s="14" t="n"/>
      <c r="B16" s="14" t="n"/>
      <c r="C16" s="14" t="n"/>
      <c r="D16" s="4" t="n"/>
      <c r="E16" s="13" t="n"/>
      <c r="F16" s="14" t="n"/>
      <c r="G16" s="12" t="n"/>
      <c r="H16" s="16">
        <f>IF(OR(F16&lt;&gt;"Sim",E16="",G16=""),"",E16+G16)</f>
        <v/>
      </c>
      <c r="I16" s="20">
        <f>IF(E16="","",TODAY()-E16)</f>
        <v/>
      </c>
      <c r="J16" s="12" t="n"/>
      <c r="K16" s="12" t="n"/>
      <c r="L16" s="17">
        <f>IF(E16="","",IF(AND(H16&lt;&gt;"",H16&lt;TODAY()),"Exclusividade vencida",IF(AND(H16&lt;&gt;"",H16-TODAY()&lt;=15),"Renovar exclusividade",IF(AND(I16&gt;=30,N(J16)&lt;3),"Revisar preço (poucas visitas)",IF(AND(I16&gt;=60,N(K16)=0),"Revisar preço (sem propostas)","OK")))))</f>
        <v/>
      </c>
    </row>
    <row r="17">
      <c r="A17" s="14" t="n"/>
      <c r="B17" s="14" t="n"/>
      <c r="C17" s="14" t="n"/>
      <c r="D17" s="4" t="n"/>
      <c r="E17" s="13" t="n"/>
      <c r="F17" s="14" t="n"/>
      <c r="G17" s="12" t="n"/>
      <c r="H17" s="16">
        <f>IF(OR(F17&lt;&gt;"Sim",E17="",G17=""),"",E17+G17)</f>
        <v/>
      </c>
      <c r="I17" s="20">
        <f>IF(E17="","",TODAY()-E17)</f>
        <v/>
      </c>
      <c r="J17" s="12" t="n"/>
      <c r="K17" s="12" t="n"/>
      <c r="L17" s="17">
        <f>IF(E17="","",IF(AND(H17&lt;&gt;"",H17&lt;TODAY()),"Exclusividade vencida",IF(AND(H17&lt;&gt;"",H17-TODAY()&lt;=15),"Renovar exclusividade",IF(AND(I17&gt;=30,N(J17)&lt;3),"Revisar preço (poucas visitas)",IF(AND(I17&gt;=60,N(K17)=0),"Revisar preço (sem propostas)","OK")))))</f>
        <v/>
      </c>
    </row>
    <row r="18">
      <c r="A18" s="14" t="n"/>
      <c r="B18" s="14" t="n"/>
      <c r="C18" s="14" t="n"/>
      <c r="D18" s="4" t="n"/>
      <c r="E18" s="13" t="n"/>
      <c r="F18" s="14" t="n"/>
      <c r="G18" s="12" t="n"/>
      <c r="H18" s="16">
        <f>IF(OR(F18&lt;&gt;"Sim",E18="",G18=""),"",E18+G18)</f>
        <v/>
      </c>
      <c r="I18" s="20">
        <f>IF(E18="","",TODAY()-E18)</f>
        <v/>
      </c>
      <c r="J18" s="12" t="n"/>
      <c r="K18" s="12" t="n"/>
      <c r="L18" s="17">
        <f>IF(E18="","",IF(AND(H18&lt;&gt;"",H18&lt;TODAY()),"Exclusividade vencida",IF(AND(H18&lt;&gt;"",H18-TODAY()&lt;=15),"Renovar exclusividade",IF(AND(I18&gt;=30,N(J18)&lt;3),"Revisar preço (poucas visitas)",IF(AND(I18&gt;=60,N(K18)=0),"Revisar preço (sem propostas)","OK")))))</f>
        <v/>
      </c>
    </row>
    <row r="19">
      <c r="A19" s="14" t="n"/>
      <c r="B19" s="14" t="n"/>
      <c r="C19" s="14" t="n"/>
      <c r="D19" s="4" t="n"/>
      <c r="E19" s="13" t="n"/>
      <c r="F19" s="14" t="n"/>
      <c r="G19" s="12" t="n"/>
      <c r="H19" s="16">
        <f>IF(OR(F19&lt;&gt;"Sim",E19="",G19=""),"",E19+G19)</f>
        <v/>
      </c>
      <c r="I19" s="20">
        <f>IF(E19="","",TODAY()-E19)</f>
        <v/>
      </c>
      <c r="J19" s="12" t="n"/>
      <c r="K19" s="12" t="n"/>
      <c r="L19" s="17">
        <f>IF(E19="","",IF(AND(H19&lt;&gt;"",H19&lt;TODAY()),"Exclusividade vencida",IF(AND(H19&lt;&gt;"",H19-TODAY()&lt;=15),"Renovar exclusividade",IF(AND(I19&gt;=30,N(J19)&lt;3),"Revisar preço (poucas visitas)",IF(AND(I19&gt;=60,N(K19)=0),"Revisar preço (sem propostas)","OK")))))</f>
        <v/>
      </c>
    </row>
    <row r="20">
      <c r="A20" s="14" t="n"/>
      <c r="B20" s="14" t="n"/>
      <c r="C20" s="14" t="n"/>
      <c r="D20" s="4" t="n"/>
      <c r="E20" s="13" t="n"/>
      <c r="F20" s="14" t="n"/>
      <c r="G20" s="12" t="n"/>
      <c r="H20" s="16">
        <f>IF(OR(F20&lt;&gt;"Sim",E20="",G20=""),"",E20+G20)</f>
        <v/>
      </c>
      <c r="I20" s="20">
        <f>IF(E20="","",TODAY()-E20)</f>
        <v/>
      </c>
      <c r="J20" s="12" t="n"/>
      <c r="K20" s="12" t="n"/>
      <c r="L20" s="17">
        <f>IF(E20="","",IF(AND(H20&lt;&gt;"",H20&lt;TODAY()),"Exclusividade vencida",IF(AND(H20&lt;&gt;"",H20-TODAY()&lt;=15),"Renovar exclusividade",IF(AND(I20&gt;=30,N(J20)&lt;3),"Revisar preço (poucas visitas)",IF(AND(I20&gt;=60,N(K20)=0),"Revisar preço (sem propostas)","OK")))))</f>
        <v/>
      </c>
    </row>
    <row r="21">
      <c r="A21" s="14" t="n"/>
      <c r="B21" s="14" t="n"/>
      <c r="C21" s="14" t="n"/>
      <c r="D21" s="4" t="n"/>
      <c r="E21" s="13" t="n"/>
      <c r="F21" s="14" t="n"/>
      <c r="G21" s="12" t="n"/>
      <c r="H21" s="16">
        <f>IF(OR(F21&lt;&gt;"Sim",E21="",G21=""),"",E21+G21)</f>
        <v/>
      </c>
      <c r="I21" s="20">
        <f>IF(E21="","",TODAY()-E21)</f>
        <v/>
      </c>
      <c r="J21" s="12" t="n"/>
      <c r="K21" s="12" t="n"/>
      <c r="L21" s="17">
        <f>IF(E21="","",IF(AND(H21&lt;&gt;"",H21&lt;TODAY()),"Exclusividade vencida",IF(AND(H21&lt;&gt;"",H21-TODAY()&lt;=15),"Renovar exclusividade",IF(AND(I21&gt;=30,N(J21)&lt;3),"Revisar preço (poucas visitas)",IF(AND(I21&gt;=60,N(K21)=0),"Revisar preço (sem propostas)","OK")))))</f>
        <v/>
      </c>
    </row>
    <row r="22">
      <c r="A22" s="14" t="n"/>
      <c r="B22" s="14" t="n"/>
      <c r="C22" s="14" t="n"/>
      <c r="D22" s="4" t="n"/>
      <c r="E22" s="13" t="n"/>
      <c r="F22" s="14" t="n"/>
      <c r="G22" s="12" t="n"/>
      <c r="H22" s="16">
        <f>IF(OR(F22&lt;&gt;"Sim",E22="",G22=""),"",E22+G22)</f>
        <v/>
      </c>
      <c r="I22" s="20">
        <f>IF(E22="","",TODAY()-E22)</f>
        <v/>
      </c>
      <c r="J22" s="12" t="n"/>
      <c r="K22" s="12" t="n"/>
      <c r="L22" s="17">
        <f>IF(E22="","",IF(AND(H22&lt;&gt;"",H22&lt;TODAY()),"Exclusividade vencida",IF(AND(H22&lt;&gt;"",H22-TODAY()&lt;=15),"Renovar exclusividade",IF(AND(I22&gt;=30,N(J22)&lt;3),"Revisar preço (poucas visitas)",IF(AND(I22&gt;=60,N(K22)=0),"Revisar preço (sem propostas)","OK")))))</f>
        <v/>
      </c>
    </row>
    <row r="23">
      <c r="A23" s="14" t="n"/>
      <c r="B23" s="14" t="n"/>
      <c r="C23" s="14" t="n"/>
      <c r="D23" s="4" t="n"/>
      <c r="E23" s="13" t="n"/>
      <c r="F23" s="14" t="n"/>
      <c r="G23" s="12" t="n"/>
      <c r="H23" s="16">
        <f>IF(OR(F23&lt;&gt;"Sim",E23="",G23=""),"",E23+G23)</f>
        <v/>
      </c>
      <c r="I23" s="20">
        <f>IF(E23="","",TODAY()-E23)</f>
        <v/>
      </c>
      <c r="J23" s="12" t="n"/>
      <c r="K23" s="12" t="n"/>
      <c r="L23" s="17">
        <f>IF(E23="","",IF(AND(H23&lt;&gt;"",H23&lt;TODAY()),"Exclusividade vencida",IF(AND(H23&lt;&gt;"",H23-TODAY()&lt;=15),"Renovar exclusividade",IF(AND(I23&gt;=30,N(J23)&lt;3),"Revisar preço (poucas visitas)",IF(AND(I23&gt;=60,N(K23)=0),"Revisar preço (sem propostas)","OK")))))</f>
        <v/>
      </c>
    </row>
    <row r="24">
      <c r="A24" s="14" t="n"/>
      <c r="B24" s="14" t="n"/>
      <c r="C24" s="14" t="n"/>
      <c r="D24" s="4" t="n"/>
      <c r="E24" s="13" t="n"/>
      <c r="F24" s="14" t="n"/>
      <c r="G24" s="12" t="n"/>
      <c r="H24" s="16">
        <f>IF(OR(F24&lt;&gt;"Sim",E24="",G24=""),"",E24+G24)</f>
        <v/>
      </c>
      <c r="I24" s="20">
        <f>IF(E24="","",TODAY()-E24)</f>
        <v/>
      </c>
      <c r="J24" s="12" t="n"/>
      <c r="K24" s="12" t="n"/>
      <c r="L24" s="17">
        <f>IF(E24="","",IF(AND(H24&lt;&gt;"",H24&lt;TODAY()),"Exclusividade vencida",IF(AND(H24&lt;&gt;"",H24-TODAY()&lt;=15),"Renovar exclusividade",IF(AND(I24&gt;=30,N(J24)&lt;3),"Revisar preço (poucas visitas)",IF(AND(I24&gt;=60,N(K24)=0),"Revisar preço (sem propostas)","OK")))))</f>
        <v/>
      </c>
    </row>
    <row r="25">
      <c r="A25" s="14" t="n"/>
      <c r="B25" s="14" t="n"/>
      <c r="C25" s="14" t="n"/>
      <c r="D25" s="4" t="n"/>
      <c r="E25" s="13" t="n"/>
      <c r="F25" s="14" t="n"/>
      <c r="G25" s="12" t="n"/>
      <c r="H25" s="16">
        <f>IF(OR(F25&lt;&gt;"Sim",E25="",G25=""),"",E25+G25)</f>
        <v/>
      </c>
      <c r="I25" s="20">
        <f>IF(E25="","",TODAY()-E25)</f>
        <v/>
      </c>
      <c r="J25" s="12" t="n"/>
      <c r="K25" s="12" t="n"/>
      <c r="L25" s="17">
        <f>IF(E25="","",IF(AND(H25&lt;&gt;"",H25&lt;TODAY()),"Exclusividade vencida",IF(AND(H25&lt;&gt;"",H25-TODAY()&lt;=15),"Renovar exclusividade",IF(AND(I25&gt;=30,N(J25)&lt;3),"Revisar preço (poucas visitas)",IF(AND(I25&gt;=60,N(K25)=0),"Revisar preço (sem propostas)","OK")))))</f>
        <v/>
      </c>
    </row>
    <row r="26">
      <c r="A26" s="14" t="n"/>
      <c r="B26" s="14" t="n"/>
      <c r="C26" s="14" t="n"/>
      <c r="D26" s="4" t="n"/>
      <c r="E26" s="13" t="n"/>
      <c r="F26" s="14" t="n"/>
      <c r="G26" s="12" t="n"/>
      <c r="H26" s="16">
        <f>IF(OR(F26&lt;&gt;"Sim",E26="",G26=""),"",E26+G26)</f>
        <v/>
      </c>
      <c r="I26" s="20">
        <f>IF(E26="","",TODAY()-E26)</f>
        <v/>
      </c>
      <c r="J26" s="12" t="n"/>
      <c r="K26" s="12" t="n"/>
      <c r="L26" s="17">
        <f>IF(E26="","",IF(AND(H26&lt;&gt;"",H26&lt;TODAY()),"Exclusividade vencida",IF(AND(H26&lt;&gt;"",H26-TODAY()&lt;=15),"Renovar exclusividade",IF(AND(I26&gt;=30,N(J26)&lt;3),"Revisar preço (poucas visitas)",IF(AND(I26&gt;=60,N(K26)=0),"Revisar preço (sem propostas)","OK")))))</f>
        <v/>
      </c>
    </row>
    <row r="27">
      <c r="A27" s="14" t="n"/>
      <c r="B27" s="14" t="n"/>
      <c r="C27" s="14" t="n"/>
      <c r="D27" s="4" t="n"/>
      <c r="E27" s="13" t="n"/>
      <c r="F27" s="14" t="n"/>
      <c r="G27" s="12" t="n"/>
      <c r="H27" s="16">
        <f>IF(OR(F27&lt;&gt;"Sim",E27="",G27=""),"",E27+G27)</f>
        <v/>
      </c>
      <c r="I27" s="20">
        <f>IF(E27="","",TODAY()-E27)</f>
        <v/>
      </c>
      <c r="J27" s="12" t="n"/>
      <c r="K27" s="12" t="n"/>
      <c r="L27" s="17">
        <f>IF(E27="","",IF(AND(H27&lt;&gt;"",H27&lt;TODAY()),"Exclusividade vencida",IF(AND(H27&lt;&gt;"",H27-TODAY()&lt;=15),"Renovar exclusividade",IF(AND(I27&gt;=30,N(J27)&lt;3),"Revisar preço (poucas visitas)",IF(AND(I27&gt;=60,N(K27)=0),"Revisar preço (sem propostas)","OK")))))</f>
        <v/>
      </c>
    </row>
    <row r="28">
      <c r="A28" s="14" t="n"/>
      <c r="B28" s="14" t="n"/>
      <c r="C28" s="14" t="n"/>
      <c r="D28" s="4" t="n"/>
      <c r="E28" s="13" t="n"/>
      <c r="F28" s="14" t="n"/>
      <c r="G28" s="12" t="n"/>
      <c r="H28" s="16">
        <f>IF(OR(F28&lt;&gt;"Sim",E28="",G28=""),"",E28+G28)</f>
        <v/>
      </c>
      <c r="I28" s="20">
        <f>IF(E28="","",TODAY()-E28)</f>
        <v/>
      </c>
      <c r="J28" s="12" t="n"/>
      <c r="K28" s="12" t="n"/>
      <c r="L28" s="17">
        <f>IF(E28="","",IF(AND(H28&lt;&gt;"",H28&lt;TODAY()),"Exclusividade vencida",IF(AND(H28&lt;&gt;"",H28-TODAY()&lt;=15),"Renovar exclusividade",IF(AND(I28&gt;=30,N(J28)&lt;3),"Revisar preço (poucas visitas)",IF(AND(I28&gt;=60,N(K28)=0),"Revisar preço (sem propostas)","OK")))))</f>
        <v/>
      </c>
    </row>
    <row r="29">
      <c r="A29" s="14" t="n"/>
      <c r="B29" s="14" t="n"/>
      <c r="C29" s="14" t="n"/>
      <c r="D29" s="4" t="n"/>
      <c r="E29" s="13" t="n"/>
      <c r="F29" s="14" t="n"/>
      <c r="G29" s="12" t="n"/>
      <c r="H29" s="16">
        <f>IF(OR(F29&lt;&gt;"Sim",E29="",G29=""),"",E29+G29)</f>
        <v/>
      </c>
      <c r="I29" s="20">
        <f>IF(E29="","",TODAY()-E29)</f>
        <v/>
      </c>
      <c r="J29" s="12" t="n"/>
      <c r="K29" s="12" t="n"/>
      <c r="L29" s="17">
        <f>IF(E29="","",IF(AND(H29&lt;&gt;"",H29&lt;TODAY()),"Exclusividade vencida",IF(AND(H29&lt;&gt;"",H29-TODAY()&lt;=15),"Renovar exclusividade",IF(AND(I29&gt;=30,N(J29)&lt;3),"Revisar preço (poucas visitas)",IF(AND(I29&gt;=60,N(K29)=0),"Revisar preço (sem propostas)","OK")))))</f>
        <v/>
      </c>
    </row>
    <row r="30">
      <c r="A30" s="14" t="n"/>
      <c r="B30" s="14" t="n"/>
      <c r="C30" s="14" t="n"/>
      <c r="D30" s="4" t="n"/>
      <c r="E30" s="13" t="n"/>
      <c r="F30" s="14" t="n"/>
      <c r="G30" s="12" t="n"/>
      <c r="H30" s="16">
        <f>IF(OR(F30&lt;&gt;"Sim",E30="",G30=""),"",E30+G30)</f>
        <v/>
      </c>
      <c r="I30" s="20">
        <f>IF(E30="","",TODAY()-E30)</f>
        <v/>
      </c>
      <c r="J30" s="12" t="n"/>
      <c r="K30" s="12" t="n"/>
      <c r="L30" s="17">
        <f>IF(E30="","",IF(AND(H30&lt;&gt;"",H30&lt;TODAY()),"Exclusividade vencida",IF(AND(H30&lt;&gt;"",H30-TODAY()&lt;=15),"Renovar exclusividade",IF(AND(I30&gt;=30,N(J30)&lt;3),"Revisar preço (poucas visitas)",IF(AND(I30&gt;=60,N(K30)=0),"Revisar preço (sem propostas)","OK")))))</f>
        <v/>
      </c>
    </row>
    <row r="31">
      <c r="A31" s="14" t="n"/>
      <c r="B31" s="14" t="n"/>
      <c r="C31" s="14" t="n"/>
      <c r="D31" s="4" t="n"/>
      <c r="E31" s="13" t="n"/>
      <c r="F31" s="14" t="n"/>
      <c r="G31" s="12" t="n"/>
      <c r="H31" s="16">
        <f>IF(OR(F31&lt;&gt;"Sim",E31="",G31=""),"",E31+G31)</f>
        <v/>
      </c>
      <c r="I31" s="20">
        <f>IF(E31="","",TODAY()-E31)</f>
        <v/>
      </c>
      <c r="J31" s="12" t="n"/>
      <c r="K31" s="12" t="n"/>
      <c r="L31" s="17">
        <f>IF(E31="","",IF(AND(H31&lt;&gt;"",H31&lt;TODAY()),"Exclusividade vencida",IF(AND(H31&lt;&gt;"",H31-TODAY()&lt;=15),"Renovar exclusividade",IF(AND(I31&gt;=30,N(J31)&lt;3),"Revisar preço (poucas visitas)",IF(AND(I31&gt;=60,N(K31)=0),"Revisar preço (sem propostas)","OK")))))</f>
        <v/>
      </c>
    </row>
    <row r="32">
      <c r="A32" s="14" t="n"/>
      <c r="B32" s="14" t="n"/>
      <c r="C32" s="14" t="n"/>
      <c r="D32" s="4" t="n"/>
      <c r="E32" s="13" t="n"/>
      <c r="F32" s="14" t="n"/>
      <c r="G32" s="12" t="n"/>
      <c r="H32" s="16">
        <f>IF(OR(F32&lt;&gt;"Sim",E32="",G32=""),"",E32+G32)</f>
        <v/>
      </c>
      <c r="I32" s="20">
        <f>IF(E32="","",TODAY()-E32)</f>
        <v/>
      </c>
      <c r="J32" s="12" t="n"/>
      <c r="K32" s="12" t="n"/>
      <c r="L32" s="17">
        <f>IF(E32="","",IF(AND(H32&lt;&gt;"",H32&lt;TODAY()),"Exclusividade vencida",IF(AND(H32&lt;&gt;"",H32-TODAY()&lt;=15),"Renovar exclusividade",IF(AND(I32&gt;=30,N(J32)&lt;3),"Revisar preço (poucas visitas)",IF(AND(I32&gt;=60,N(K32)=0),"Revisar preço (sem propostas)","OK")))))</f>
        <v/>
      </c>
    </row>
    <row r="33">
      <c r="A33" s="14" t="n"/>
      <c r="B33" s="14" t="n"/>
      <c r="C33" s="14" t="n"/>
      <c r="D33" s="4" t="n"/>
      <c r="E33" s="13" t="n"/>
      <c r="F33" s="14" t="n"/>
      <c r="G33" s="12" t="n"/>
      <c r="H33" s="16">
        <f>IF(OR(F33&lt;&gt;"Sim",E33="",G33=""),"",E33+G33)</f>
        <v/>
      </c>
      <c r="I33" s="20">
        <f>IF(E33="","",TODAY()-E33)</f>
        <v/>
      </c>
      <c r="J33" s="12" t="n"/>
      <c r="K33" s="12" t="n"/>
      <c r="L33" s="17">
        <f>IF(E33="","",IF(AND(H33&lt;&gt;"",H33&lt;TODAY()),"Exclusividade vencida",IF(AND(H33&lt;&gt;"",H33-TODAY()&lt;=15),"Renovar exclusividade",IF(AND(I33&gt;=30,N(J33)&lt;3),"Revisar preço (poucas visitas)",IF(AND(I33&gt;=60,N(K33)=0),"Revisar preço (sem propostas)","OK")))))</f>
        <v/>
      </c>
    </row>
    <row r="34">
      <c r="A34" s="14" t="n"/>
      <c r="B34" s="14" t="n"/>
      <c r="C34" s="14" t="n"/>
      <c r="D34" s="4" t="n"/>
      <c r="E34" s="13" t="n"/>
      <c r="F34" s="14" t="n"/>
      <c r="G34" s="12" t="n"/>
      <c r="H34" s="16">
        <f>IF(OR(F34&lt;&gt;"Sim",E34="",G34=""),"",E34+G34)</f>
        <v/>
      </c>
      <c r="I34" s="20">
        <f>IF(E34="","",TODAY()-E34)</f>
        <v/>
      </c>
      <c r="J34" s="12" t="n"/>
      <c r="K34" s="12" t="n"/>
      <c r="L34" s="17">
        <f>IF(E34="","",IF(AND(H34&lt;&gt;"",H34&lt;TODAY()),"Exclusividade vencida",IF(AND(H34&lt;&gt;"",H34-TODAY()&lt;=15),"Renovar exclusividade",IF(AND(I34&gt;=30,N(J34)&lt;3),"Revisar preço (poucas visitas)",IF(AND(I34&gt;=60,N(K34)=0),"Revisar preço (sem propostas)","OK")))))</f>
        <v/>
      </c>
    </row>
    <row r="35">
      <c r="A35" s="14" t="n"/>
      <c r="B35" s="14" t="n"/>
      <c r="C35" s="14" t="n"/>
      <c r="D35" s="4" t="n"/>
      <c r="E35" s="13" t="n"/>
      <c r="F35" s="14" t="n"/>
      <c r="G35" s="12" t="n"/>
      <c r="H35" s="16">
        <f>IF(OR(F35&lt;&gt;"Sim",E35="",G35=""),"",E35+G35)</f>
        <v/>
      </c>
      <c r="I35" s="20">
        <f>IF(E35="","",TODAY()-E35)</f>
        <v/>
      </c>
      <c r="J35" s="12" t="n"/>
      <c r="K35" s="12" t="n"/>
      <c r="L35" s="17">
        <f>IF(E35="","",IF(AND(H35&lt;&gt;"",H35&lt;TODAY()),"Exclusividade vencida",IF(AND(H35&lt;&gt;"",H35-TODAY()&lt;=15),"Renovar exclusividade",IF(AND(I35&gt;=30,N(J35)&lt;3),"Revisar preço (poucas visitas)",IF(AND(I35&gt;=60,N(K35)=0),"Revisar preço (sem propostas)","OK")))))</f>
        <v/>
      </c>
    </row>
    <row r="36">
      <c r="A36" s="14" t="n"/>
      <c r="B36" s="14" t="n"/>
      <c r="C36" s="14" t="n"/>
      <c r="D36" s="4" t="n"/>
      <c r="E36" s="13" t="n"/>
      <c r="F36" s="14" t="n"/>
      <c r="G36" s="12" t="n"/>
      <c r="H36" s="16">
        <f>IF(OR(F36&lt;&gt;"Sim",E36="",G36=""),"",E36+G36)</f>
        <v/>
      </c>
      <c r="I36" s="20">
        <f>IF(E36="","",TODAY()-E36)</f>
        <v/>
      </c>
      <c r="J36" s="12" t="n"/>
      <c r="K36" s="12" t="n"/>
      <c r="L36" s="17">
        <f>IF(E36="","",IF(AND(H36&lt;&gt;"",H36&lt;TODAY()),"Exclusividade vencida",IF(AND(H36&lt;&gt;"",H36-TODAY()&lt;=15),"Renovar exclusividade",IF(AND(I36&gt;=30,N(J36)&lt;3),"Revisar preço (poucas visitas)",IF(AND(I36&gt;=60,N(K36)=0),"Revisar preço (sem propostas)","OK")))))</f>
        <v/>
      </c>
    </row>
    <row r="37">
      <c r="A37" s="14" t="n"/>
      <c r="B37" s="14" t="n"/>
      <c r="C37" s="14" t="n"/>
      <c r="D37" s="4" t="n"/>
      <c r="E37" s="13" t="n"/>
      <c r="F37" s="14" t="n"/>
      <c r="G37" s="12" t="n"/>
      <c r="H37" s="16">
        <f>IF(OR(F37&lt;&gt;"Sim",E37="",G37=""),"",E37+G37)</f>
        <v/>
      </c>
      <c r="I37" s="20">
        <f>IF(E37="","",TODAY()-E37)</f>
        <v/>
      </c>
      <c r="J37" s="12" t="n"/>
      <c r="K37" s="12" t="n"/>
      <c r="L37" s="17">
        <f>IF(E37="","",IF(AND(H37&lt;&gt;"",H37&lt;TODAY()),"Exclusividade vencida",IF(AND(H37&lt;&gt;"",H37-TODAY()&lt;=15),"Renovar exclusividade",IF(AND(I37&gt;=30,N(J37)&lt;3),"Revisar preço (poucas visitas)",IF(AND(I37&gt;=60,N(K37)=0),"Revisar preço (sem propostas)","OK")))))</f>
        <v/>
      </c>
    </row>
    <row r="38">
      <c r="A38" s="14" t="n"/>
      <c r="B38" s="14" t="n"/>
      <c r="C38" s="14" t="n"/>
      <c r="D38" s="4" t="n"/>
      <c r="E38" s="13" t="n"/>
      <c r="F38" s="14" t="n"/>
      <c r="G38" s="12" t="n"/>
      <c r="H38" s="16">
        <f>IF(OR(F38&lt;&gt;"Sim",E38="",G38=""),"",E38+G38)</f>
        <v/>
      </c>
      <c r="I38" s="20">
        <f>IF(E38="","",TODAY()-E38)</f>
        <v/>
      </c>
      <c r="J38" s="12" t="n"/>
      <c r="K38" s="12" t="n"/>
      <c r="L38" s="17">
        <f>IF(E38="","",IF(AND(H38&lt;&gt;"",H38&lt;TODAY()),"Exclusividade vencida",IF(AND(H38&lt;&gt;"",H38-TODAY()&lt;=15),"Renovar exclusividade",IF(AND(I38&gt;=30,N(J38)&lt;3),"Revisar preço (poucas visitas)",IF(AND(I38&gt;=60,N(K38)=0),"Revisar preço (sem propostas)","OK")))))</f>
        <v/>
      </c>
    </row>
    <row r="39">
      <c r="A39" s="14" t="n"/>
      <c r="B39" s="14" t="n"/>
      <c r="C39" s="14" t="n"/>
      <c r="D39" s="4" t="n"/>
      <c r="E39" s="13" t="n"/>
      <c r="F39" s="14" t="n"/>
      <c r="G39" s="12" t="n"/>
      <c r="H39" s="16">
        <f>IF(OR(F39&lt;&gt;"Sim",E39="",G39=""),"",E39+G39)</f>
        <v/>
      </c>
      <c r="I39" s="20">
        <f>IF(E39="","",TODAY()-E39)</f>
        <v/>
      </c>
      <c r="J39" s="12" t="n"/>
      <c r="K39" s="12" t="n"/>
      <c r="L39" s="17">
        <f>IF(E39="","",IF(AND(H39&lt;&gt;"",H39&lt;TODAY()),"Exclusividade vencida",IF(AND(H39&lt;&gt;"",H39-TODAY()&lt;=15),"Renovar exclusividade",IF(AND(I39&gt;=30,N(J39)&lt;3),"Revisar preço (poucas visitas)",IF(AND(I39&gt;=60,N(K39)=0),"Revisar preço (sem propostas)","OK")))))</f>
        <v/>
      </c>
    </row>
    <row r="40">
      <c r="A40" s="14" t="n"/>
      <c r="B40" s="14" t="n"/>
      <c r="C40" s="14" t="n"/>
      <c r="D40" s="4" t="n"/>
      <c r="E40" s="13" t="n"/>
      <c r="F40" s="14" t="n"/>
      <c r="G40" s="12" t="n"/>
      <c r="H40" s="16">
        <f>IF(OR(F40&lt;&gt;"Sim",E40="",G40=""),"",E40+G40)</f>
        <v/>
      </c>
      <c r="I40" s="20">
        <f>IF(E40="","",TODAY()-E40)</f>
        <v/>
      </c>
      <c r="J40" s="12" t="n"/>
      <c r="K40" s="12" t="n"/>
      <c r="L40" s="17">
        <f>IF(E40="","",IF(AND(H40&lt;&gt;"",H40&lt;TODAY()),"Exclusividade vencida",IF(AND(H40&lt;&gt;"",H40-TODAY()&lt;=15),"Renovar exclusividade",IF(AND(I40&gt;=30,N(J40)&lt;3),"Revisar preço (poucas visitas)",IF(AND(I40&gt;=60,N(K40)=0),"Revisar preço (sem propostas)","OK")))))</f>
        <v/>
      </c>
    </row>
    <row r="41">
      <c r="A41" s="14" t="n"/>
      <c r="B41" s="14" t="n"/>
      <c r="C41" s="14" t="n"/>
      <c r="D41" s="4" t="n"/>
      <c r="E41" s="13" t="n"/>
      <c r="F41" s="14" t="n"/>
      <c r="G41" s="12" t="n"/>
      <c r="H41" s="16">
        <f>IF(OR(F41&lt;&gt;"Sim",E41="",G41=""),"",E41+G41)</f>
        <v/>
      </c>
      <c r="I41" s="20">
        <f>IF(E41="","",TODAY()-E41)</f>
        <v/>
      </c>
      <c r="J41" s="12" t="n"/>
      <c r="K41" s="12" t="n"/>
      <c r="L41" s="17">
        <f>IF(E41="","",IF(AND(H41&lt;&gt;"",H41&lt;TODAY()),"Exclusividade vencida",IF(AND(H41&lt;&gt;"",H41-TODAY()&lt;=15),"Renovar exclusividade",IF(AND(I41&gt;=30,N(J41)&lt;3),"Revisar preço (poucas visitas)",IF(AND(I41&gt;=60,N(K41)=0),"Revisar preço (sem propostas)","OK")))))</f>
        <v/>
      </c>
    </row>
    <row r="42">
      <c r="A42" s="14" t="n"/>
      <c r="B42" s="14" t="n"/>
      <c r="C42" s="14" t="n"/>
      <c r="D42" s="4" t="n"/>
      <c r="E42" s="13" t="n"/>
      <c r="F42" s="14" t="n"/>
      <c r="G42" s="12" t="n"/>
      <c r="H42" s="16">
        <f>IF(OR(F42&lt;&gt;"Sim",E42="",G42=""),"",E42+G42)</f>
        <v/>
      </c>
      <c r="I42" s="20">
        <f>IF(E42="","",TODAY()-E42)</f>
        <v/>
      </c>
      <c r="J42" s="12" t="n"/>
      <c r="K42" s="12" t="n"/>
      <c r="L42" s="17">
        <f>IF(E42="","",IF(AND(H42&lt;&gt;"",H42&lt;TODAY()),"Exclusividade vencida",IF(AND(H42&lt;&gt;"",H42-TODAY()&lt;=15),"Renovar exclusividade",IF(AND(I42&gt;=30,N(J42)&lt;3),"Revisar preço (poucas visitas)",IF(AND(I42&gt;=60,N(K42)=0),"Revisar preço (sem propostas)","OK")))))</f>
        <v/>
      </c>
    </row>
    <row r="43">
      <c r="A43" s="14" t="n"/>
      <c r="B43" s="14" t="n"/>
      <c r="C43" s="14" t="n"/>
      <c r="D43" s="4" t="n"/>
      <c r="E43" s="13" t="n"/>
      <c r="F43" s="14" t="n"/>
      <c r="G43" s="12" t="n"/>
      <c r="H43" s="16">
        <f>IF(OR(F43&lt;&gt;"Sim",E43="",G43=""),"",E43+G43)</f>
        <v/>
      </c>
      <c r="I43" s="20">
        <f>IF(E43="","",TODAY()-E43)</f>
        <v/>
      </c>
      <c r="J43" s="12" t="n"/>
      <c r="K43" s="12" t="n"/>
      <c r="L43" s="17">
        <f>IF(E43="","",IF(AND(H43&lt;&gt;"",H43&lt;TODAY()),"Exclusividade vencida",IF(AND(H43&lt;&gt;"",H43-TODAY()&lt;=15),"Renovar exclusividade",IF(AND(I43&gt;=30,N(J43)&lt;3),"Revisar preço (poucas visitas)",IF(AND(I43&gt;=60,N(K43)=0),"Revisar preço (sem propostas)","OK")))))</f>
        <v/>
      </c>
    </row>
    <row r="44">
      <c r="A44" s="14" t="n"/>
      <c r="B44" s="14" t="n"/>
      <c r="C44" s="14" t="n"/>
      <c r="D44" s="4" t="n"/>
      <c r="E44" s="13" t="n"/>
      <c r="F44" s="14" t="n"/>
      <c r="G44" s="12" t="n"/>
      <c r="H44" s="16">
        <f>IF(OR(F44&lt;&gt;"Sim",E44="",G44=""),"",E44+G44)</f>
        <v/>
      </c>
      <c r="I44" s="20">
        <f>IF(E44="","",TODAY()-E44)</f>
        <v/>
      </c>
      <c r="J44" s="12" t="n"/>
      <c r="K44" s="12" t="n"/>
      <c r="L44" s="17">
        <f>IF(E44="","",IF(AND(H44&lt;&gt;"",H44&lt;TODAY()),"Exclusividade vencida",IF(AND(H44&lt;&gt;"",H44-TODAY()&lt;=15),"Renovar exclusividade",IF(AND(I44&gt;=30,N(J44)&lt;3),"Revisar preço (poucas visitas)",IF(AND(I44&gt;=60,N(K44)=0),"Revisar preço (sem propostas)","OK")))))</f>
        <v/>
      </c>
    </row>
    <row r="45">
      <c r="A45" s="14" t="n"/>
      <c r="B45" s="14" t="n"/>
      <c r="C45" s="14" t="n"/>
      <c r="D45" s="4" t="n"/>
      <c r="E45" s="13" t="n"/>
      <c r="F45" s="14" t="n"/>
      <c r="G45" s="12" t="n"/>
      <c r="H45" s="16">
        <f>IF(OR(F45&lt;&gt;"Sim",E45="",G45=""),"",E45+G45)</f>
        <v/>
      </c>
      <c r="I45" s="20">
        <f>IF(E45="","",TODAY()-E45)</f>
        <v/>
      </c>
      <c r="J45" s="12" t="n"/>
      <c r="K45" s="12" t="n"/>
      <c r="L45" s="17">
        <f>IF(E45="","",IF(AND(H45&lt;&gt;"",H45&lt;TODAY()),"Exclusividade vencida",IF(AND(H45&lt;&gt;"",H45-TODAY()&lt;=15),"Renovar exclusividade",IF(AND(I45&gt;=30,N(J45)&lt;3),"Revisar preço (poucas visitas)",IF(AND(I45&gt;=60,N(K45)=0),"Revisar preço (sem propostas)","OK")))))</f>
        <v/>
      </c>
    </row>
    <row r="46">
      <c r="A46" s="14" t="n"/>
      <c r="B46" s="14" t="n"/>
      <c r="C46" s="14" t="n"/>
      <c r="D46" s="4" t="n"/>
      <c r="E46" s="13" t="n"/>
      <c r="F46" s="14" t="n"/>
      <c r="G46" s="12" t="n"/>
      <c r="H46" s="16">
        <f>IF(OR(F46&lt;&gt;"Sim",E46="",G46=""),"",E46+G46)</f>
        <v/>
      </c>
      <c r="I46" s="20">
        <f>IF(E46="","",TODAY()-E46)</f>
        <v/>
      </c>
      <c r="J46" s="12" t="n"/>
      <c r="K46" s="12" t="n"/>
      <c r="L46" s="17">
        <f>IF(E46="","",IF(AND(H46&lt;&gt;"",H46&lt;TODAY()),"Exclusividade vencida",IF(AND(H46&lt;&gt;"",H46-TODAY()&lt;=15),"Renovar exclusividade",IF(AND(I46&gt;=30,N(J46)&lt;3),"Revisar preço (poucas visitas)",IF(AND(I46&gt;=60,N(K46)=0),"Revisar preço (sem propostas)","OK")))))</f>
        <v/>
      </c>
    </row>
    <row r="47">
      <c r="A47" s="14" t="n"/>
      <c r="B47" s="14" t="n"/>
      <c r="C47" s="14" t="n"/>
      <c r="D47" s="4" t="n"/>
      <c r="E47" s="13" t="n"/>
      <c r="F47" s="14" t="n"/>
      <c r="G47" s="12" t="n"/>
      <c r="H47" s="16">
        <f>IF(OR(F47&lt;&gt;"Sim",E47="",G47=""),"",E47+G47)</f>
        <v/>
      </c>
      <c r="I47" s="20">
        <f>IF(E47="","",TODAY()-E47)</f>
        <v/>
      </c>
      <c r="J47" s="12" t="n"/>
      <c r="K47" s="12" t="n"/>
      <c r="L47" s="17">
        <f>IF(E47="","",IF(AND(H47&lt;&gt;"",H47&lt;TODAY()),"Exclusividade vencida",IF(AND(H47&lt;&gt;"",H47-TODAY()&lt;=15),"Renovar exclusividade",IF(AND(I47&gt;=30,N(J47)&lt;3),"Revisar preço (poucas visitas)",IF(AND(I47&gt;=60,N(K47)=0),"Revisar preço (sem propostas)","OK")))))</f>
        <v/>
      </c>
    </row>
    <row r="48">
      <c r="A48" s="14" t="n"/>
      <c r="B48" s="14" t="n"/>
      <c r="C48" s="14" t="n"/>
      <c r="D48" s="4" t="n"/>
      <c r="E48" s="13" t="n"/>
      <c r="F48" s="14" t="n"/>
      <c r="G48" s="12" t="n"/>
      <c r="H48" s="16">
        <f>IF(OR(F48&lt;&gt;"Sim",E48="",G48=""),"",E48+G48)</f>
        <v/>
      </c>
      <c r="I48" s="20">
        <f>IF(E48="","",TODAY()-E48)</f>
        <v/>
      </c>
      <c r="J48" s="12" t="n"/>
      <c r="K48" s="12" t="n"/>
      <c r="L48" s="17">
        <f>IF(E48="","",IF(AND(H48&lt;&gt;"",H48&lt;TODAY()),"Exclusividade vencida",IF(AND(H48&lt;&gt;"",H48-TODAY()&lt;=15),"Renovar exclusividade",IF(AND(I48&gt;=30,N(J48)&lt;3),"Revisar preço (poucas visitas)",IF(AND(I48&gt;=60,N(K48)=0),"Revisar preço (sem propostas)","OK")))))</f>
        <v/>
      </c>
    </row>
    <row r="49">
      <c r="A49" s="14" t="n"/>
      <c r="B49" s="14" t="n"/>
      <c r="C49" s="14" t="n"/>
      <c r="D49" s="4" t="n"/>
      <c r="E49" s="13" t="n"/>
      <c r="F49" s="14" t="n"/>
      <c r="G49" s="12" t="n"/>
      <c r="H49" s="16">
        <f>IF(OR(F49&lt;&gt;"Sim",E49="",G49=""),"",E49+G49)</f>
        <v/>
      </c>
      <c r="I49" s="20">
        <f>IF(E49="","",TODAY()-E49)</f>
        <v/>
      </c>
      <c r="J49" s="12" t="n"/>
      <c r="K49" s="12" t="n"/>
      <c r="L49" s="17">
        <f>IF(E49="","",IF(AND(H49&lt;&gt;"",H49&lt;TODAY()),"Exclusividade vencida",IF(AND(H49&lt;&gt;"",H49-TODAY()&lt;=15),"Renovar exclusividade",IF(AND(I49&gt;=30,N(J49)&lt;3),"Revisar preço (poucas visitas)",IF(AND(I49&gt;=60,N(K49)=0),"Revisar preço (sem propostas)","OK")))))</f>
        <v/>
      </c>
    </row>
    <row r="50">
      <c r="A50" s="14" t="n"/>
      <c r="B50" s="14" t="n"/>
      <c r="C50" s="14" t="n"/>
      <c r="D50" s="4" t="n"/>
      <c r="E50" s="13" t="n"/>
      <c r="F50" s="14" t="n"/>
      <c r="G50" s="12" t="n"/>
      <c r="H50" s="16">
        <f>IF(OR(F50&lt;&gt;"Sim",E50="",G50=""),"",E50+G50)</f>
        <v/>
      </c>
      <c r="I50" s="20">
        <f>IF(E50="","",TODAY()-E50)</f>
        <v/>
      </c>
      <c r="J50" s="12" t="n"/>
      <c r="K50" s="12" t="n"/>
      <c r="L50" s="17">
        <f>IF(E50="","",IF(AND(H50&lt;&gt;"",H50&lt;TODAY()),"Exclusividade vencida",IF(AND(H50&lt;&gt;"",H50-TODAY()&lt;=15),"Renovar exclusividade",IF(AND(I50&gt;=30,N(J50)&lt;3),"Revisar preço (poucas visitas)",IF(AND(I50&gt;=60,N(K50)=0),"Revisar preço (sem propostas)","OK")))))</f>
        <v/>
      </c>
    </row>
    <row r="51">
      <c r="A51" s="14" t="n"/>
      <c r="B51" s="14" t="n"/>
      <c r="C51" s="14" t="n"/>
      <c r="D51" s="4" t="n"/>
      <c r="E51" s="13" t="n"/>
      <c r="F51" s="14" t="n"/>
      <c r="G51" s="12" t="n"/>
      <c r="H51" s="16">
        <f>IF(OR(F51&lt;&gt;"Sim",E51="",G51=""),"",E51+G51)</f>
        <v/>
      </c>
      <c r="I51" s="20">
        <f>IF(E51="","",TODAY()-E51)</f>
        <v/>
      </c>
      <c r="J51" s="12" t="n"/>
      <c r="K51" s="12" t="n"/>
      <c r="L51" s="17">
        <f>IF(E51="","",IF(AND(H51&lt;&gt;"",H51&lt;TODAY()),"Exclusividade vencida",IF(AND(H51&lt;&gt;"",H51-TODAY()&lt;=15),"Renovar exclusividade",IF(AND(I51&gt;=30,N(J51)&lt;3),"Revisar preço (poucas visitas)",IF(AND(I51&gt;=60,N(K51)=0),"Revisar preço (sem propostas)","OK")))))</f>
        <v/>
      </c>
    </row>
    <row r="52">
      <c r="A52" s="14" t="n"/>
      <c r="B52" s="14" t="n"/>
      <c r="C52" s="14" t="n"/>
      <c r="D52" s="4" t="n"/>
      <c r="E52" s="13" t="n"/>
      <c r="F52" s="14" t="n"/>
      <c r="G52" s="12" t="n"/>
      <c r="H52" s="16">
        <f>IF(OR(F52&lt;&gt;"Sim",E52="",G52=""),"",E52+G52)</f>
        <v/>
      </c>
      <c r="I52" s="20">
        <f>IF(E52="","",TODAY()-E52)</f>
        <v/>
      </c>
      <c r="J52" s="12" t="n"/>
      <c r="K52" s="12" t="n"/>
      <c r="L52" s="17">
        <f>IF(E52="","",IF(AND(H52&lt;&gt;"",H52&lt;TODAY()),"Exclusividade vencida",IF(AND(H52&lt;&gt;"",H52-TODAY()&lt;=15),"Renovar exclusividade",IF(AND(I52&gt;=30,N(J52)&lt;3),"Revisar preço (poucas visitas)",IF(AND(I52&gt;=60,N(K52)=0),"Revisar preço (sem propostas)","OK")))))</f>
        <v/>
      </c>
    </row>
    <row r="53">
      <c r="A53" s="14" t="n"/>
      <c r="B53" s="14" t="n"/>
      <c r="C53" s="14" t="n"/>
      <c r="D53" s="4" t="n"/>
      <c r="E53" s="13" t="n"/>
      <c r="F53" s="14" t="n"/>
      <c r="G53" s="12" t="n"/>
      <c r="H53" s="16">
        <f>IF(OR(F53&lt;&gt;"Sim",E53="",G53=""),"",E53+G53)</f>
        <v/>
      </c>
      <c r="I53" s="20">
        <f>IF(E53="","",TODAY()-E53)</f>
        <v/>
      </c>
      <c r="J53" s="12" t="n"/>
      <c r="K53" s="12" t="n"/>
      <c r="L53" s="17">
        <f>IF(E53="","",IF(AND(H53&lt;&gt;"",H53&lt;TODAY()),"Exclusividade vencida",IF(AND(H53&lt;&gt;"",H53-TODAY()&lt;=15),"Renovar exclusividade",IF(AND(I53&gt;=30,N(J53)&lt;3),"Revisar preço (poucas visitas)",IF(AND(I53&gt;=60,N(K53)=0),"Revisar preço (sem propostas)","OK")))))</f>
        <v/>
      </c>
    </row>
    <row r="54">
      <c r="A54" s="14" t="n"/>
      <c r="B54" s="14" t="n"/>
      <c r="C54" s="14" t="n"/>
      <c r="D54" s="4" t="n"/>
      <c r="E54" s="13" t="n"/>
      <c r="F54" s="14" t="n"/>
      <c r="G54" s="12" t="n"/>
      <c r="H54" s="16">
        <f>IF(OR(F54&lt;&gt;"Sim",E54="",G54=""),"",E54+G54)</f>
        <v/>
      </c>
      <c r="I54" s="20">
        <f>IF(E54="","",TODAY()-E54)</f>
        <v/>
      </c>
      <c r="J54" s="12" t="n"/>
      <c r="K54" s="12" t="n"/>
      <c r="L54" s="17">
        <f>IF(E54="","",IF(AND(H54&lt;&gt;"",H54&lt;TODAY()),"Exclusividade vencida",IF(AND(H54&lt;&gt;"",H54-TODAY()&lt;=15),"Renovar exclusividade",IF(AND(I54&gt;=30,N(J54)&lt;3),"Revisar preço (poucas visitas)",IF(AND(I54&gt;=60,N(K54)=0),"Revisar preço (sem propostas)","OK")))))</f>
        <v/>
      </c>
    </row>
    <row r="55">
      <c r="A55" s="14" t="n"/>
      <c r="B55" s="14" t="n"/>
      <c r="C55" s="14" t="n"/>
      <c r="D55" s="4" t="n"/>
      <c r="E55" s="13" t="n"/>
      <c r="F55" s="14" t="n"/>
      <c r="G55" s="12" t="n"/>
      <c r="H55" s="16">
        <f>IF(OR(F55&lt;&gt;"Sim",E55="",G55=""),"",E55+G55)</f>
        <v/>
      </c>
      <c r="I55" s="20">
        <f>IF(E55="","",TODAY()-E55)</f>
        <v/>
      </c>
      <c r="J55" s="12" t="n"/>
      <c r="K55" s="12" t="n"/>
      <c r="L55" s="17">
        <f>IF(E55="","",IF(AND(H55&lt;&gt;"",H55&lt;TODAY()),"Exclusividade vencida",IF(AND(H55&lt;&gt;"",H55-TODAY()&lt;=15),"Renovar exclusividade",IF(AND(I55&gt;=30,N(J55)&lt;3),"Revisar preço (poucas visitas)",IF(AND(I55&gt;=60,N(K55)=0),"Revisar preço (sem propostas)","OK")))))</f>
        <v/>
      </c>
    </row>
    <row r="56">
      <c r="A56" s="14" t="n"/>
      <c r="B56" s="14" t="n"/>
      <c r="C56" s="14" t="n"/>
      <c r="D56" s="4" t="n"/>
      <c r="E56" s="13" t="n"/>
      <c r="F56" s="14" t="n"/>
      <c r="G56" s="12" t="n"/>
      <c r="H56" s="16">
        <f>IF(OR(F56&lt;&gt;"Sim",E56="",G56=""),"",E56+G56)</f>
        <v/>
      </c>
      <c r="I56" s="20">
        <f>IF(E56="","",TODAY()-E56)</f>
        <v/>
      </c>
      <c r="J56" s="12" t="n"/>
      <c r="K56" s="12" t="n"/>
      <c r="L56" s="17">
        <f>IF(E56="","",IF(AND(H56&lt;&gt;"",H56&lt;TODAY()),"Exclusividade vencida",IF(AND(H56&lt;&gt;"",H56-TODAY()&lt;=15),"Renovar exclusividade",IF(AND(I56&gt;=30,N(J56)&lt;3),"Revisar preço (poucas visitas)",IF(AND(I56&gt;=60,N(K56)=0),"Revisar preço (sem propostas)","OK")))))</f>
        <v/>
      </c>
    </row>
    <row r="57">
      <c r="A57" s="14" t="n"/>
      <c r="B57" s="14" t="n"/>
      <c r="C57" s="14" t="n"/>
      <c r="D57" s="4" t="n"/>
      <c r="E57" s="13" t="n"/>
      <c r="F57" s="14" t="n"/>
      <c r="G57" s="12" t="n"/>
      <c r="H57" s="16">
        <f>IF(OR(F57&lt;&gt;"Sim",E57="",G57=""),"",E57+G57)</f>
        <v/>
      </c>
      <c r="I57" s="20">
        <f>IF(E57="","",TODAY()-E57)</f>
        <v/>
      </c>
      <c r="J57" s="12" t="n"/>
      <c r="K57" s="12" t="n"/>
      <c r="L57" s="17">
        <f>IF(E57="","",IF(AND(H57&lt;&gt;"",H57&lt;TODAY()),"Exclusividade vencida",IF(AND(H57&lt;&gt;"",H57-TODAY()&lt;=15),"Renovar exclusividade",IF(AND(I57&gt;=30,N(J57)&lt;3),"Revisar preço (poucas visitas)",IF(AND(I57&gt;=60,N(K57)=0),"Revisar preço (sem propostas)","OK")))))</f>
        <v/>
      </c>
    </row>
    <row r="58">
      <c r="A58" s="14" t="n"/>
      <c r="B58" s="14" t="n"/>
      <c r="C58" s="14" t="n"/>
      <c r="D58" s="4" t="n"/>
      <c r="E58" s="13" t="n"/>
      <c r="F58" s="14" t="n"/>
      <c r="G58" s="12" t="n"/>
      <c r="H58" s="16">
        <f>IF(OR(F58&lt;&gt;"Sim",E58="",G58=""),"",E58+G58)</f>
        <v/>
      </c>
      <c r="I58" s="20">
        <f>IF(E58="","",TODAY()-E58)</f>
        <v/>
      </c>
      <c r="J58" s="12" t="n"/>
      <c r="K58" s="12" t="n"/>
      <c r="L58" s="17">
        <f>IF(E58="","",IF(AND(H58&lt;&gt;"",H58&lt;TODAY()),"Exclusividade vencida",IF(AND(H58&lt;&gt;"",H58-TODAY()&lt;=15),"Renovar exclusividade",IF(AND(I58&gt;=30,N(J58)&lt;3),"Revisar preço (poucas visitas)",IF(AND(I58&gt;=60,N(K58)=0),"Revisar preço (sem propostas)","OK")))))</f>
        <v/>
      </c>
    </row>
    <row r="59">
      <c r="A59" s="14" t="n"/>
      <c r="B59" s="14" t="n"/>
      <c r="C59" s="14" t="n"/>
      <c r="D59" s="4" t="n"/>
      <c r="E59" s="13" t="n"/>
      <c r="F59" s="14" t="n"/>
      <c r="G59" s="12" t="n"/>
      <c r="H59" s="16">
        <f>IF(OR(F59&lt;&gt;"Sim",E59="",G59=""),"",E59+G59)</f>
        <v/>
      </c>
      <c r="I59" s="20">
        <f>IF(E59="","",TODAY()-E59)</f>
        <v/>
      </c>
      <c r="J59" s="12" t="n"/>
      <c r="K59" s="12" t="n"/>
      <c r="L59" s="17">
        <f>IF(E59="","",IF(AND(H59&lt;&gt;"",H59&lt;TODAY()),"Exclusividade vencida",IF(AND(H59&lt;&gt;"",H59-TODAY()&lt;=15),"Renovar exclusividade",IF(AND(I59&gt;=30,N(J59)&lt;3),"Revisar preço (poucas visitas)",IF(AND(I59&gt;=60,N(K59)=0),"Revisar preço (sem propostas)","OK")))))</f>
        <v/>
      </c>
    </row>
    <row r="60">
      <c r="A60" s="14" t="n"/>
      <c r="B60" s="14" t="n"/>
      <c r="C60" s="14" t="n"/>
      <c r="D60" s="4" t="n"/>
      <c r="E60" s="13" t="n"/>
      <c r="F60" s="14" t="n"/>
      <c r="G60" s="12" t="n"/>
      <c r="H60" s="16">
        <f>IF(OR(F60&lt;&gt;"Sim",E60="",G60=""),"",E60+G60)</f>
        <v/>
      </c>
      <c r="I60" s="20">
        <f>IF(E60="","",TODAY()-E60)</f>
        <v/>
      </c>
      <c r="J60" s="12" t="n"/>
      <c r="K60" s="12" t="n"/>
      <c r="L60" s="17">
        <f>IF(E60="","",IF(AND(H60&lt;&gt;"",H60&lt;TODAY()),"Exclusividade vencida",IF(AND(H60&lt;&gt;"",H60-TODAY()&lt;=15),"Renovar exclusividade",IF(AND(I60&gt;=30,N(J60)&lt;3),"Revisar preço (poucas visitas)",IF(AND(I60&gt;=60,N(K60)=0),"Revisar preço (sem propostas)","OK")))))</f>
        <v/>
      </c>
    </row>
    <row r="61">
      <c r="A61" s="14" t="n"/>
      <c r="B61" s="14" t="n"/>
      <c r="C61" s="14" t="n"/>
      <c r="D61" s="4" t="n"/>
      <c r="E61" s="13" t="n"/>
      <c r="F61" s="14" t="n"/>
      <c r="G61" s="12" t="n"/>
      <c r="H61" s="16">
        <f>IF(OR(F61&lt;&gt;"Sim",E61="",G61=""),"",E61+G61)</f>
        <v/>
      </c>
      <c r="I61" s="20">
        <f>IF(E61="","",TODAY()-E61)</f>
        <v/>
      </c>
      <c r="J61" s="12" t="n"/>
      <c r="K61" s="12" t="n"/>
      <c r="L61" s="17">
        <f>IF(E61="","",IF(AND(H61&lt;&gt;"",H61&lt;TODAY()),"Exclusividade vencida",IF(AND(H61&lt;&gt;"",H61-TODAY()&lt;=15),"Renovar exclusividade",IF(AND(I61&gt;=30,N(J61)&lt;3),"Revisar preço (poucas visitas)",IF(AND(I61&gt;=60,N(K61)=0),"Revisar preço (sem propostas)","OK")))))</f>
        <v/>
      </c>
    </row>
    <row r="62">
      <c r="A62" s="14" t="n"/>
      <c r="B62" s="14" t="n"/>
      <c r="C62" s="14" t="n"/>
      <c r="D62" s="4" t="n"/>
      <c r="E62" s="13" t="n"/>
      <c r="F62" s="14" t="n"/>
      <c r="G62" s="12" t="n"/>
      <c r="H62" s="16">
        <f>IF(OR(F62&lt;&gt;"Sim",E62="",G62=""),"",E62+G62)</f>
        <v/>
      </c>
      <c r="I62" s="20">
        <f>IF(E62="","",TODAY()-E62)</f>
        <v/>
      </c>
      <c r="J62" s="12" t="n"/>
      <c r="K62" s="12" t="n"/>
      <c r="L62" s="17">
        <f>IF(E62="","",IF(AND(H62&lt;&gt;"",H62&lt;TODAY()),"Exclusividade vencida",IF(AND(H62&lt;&gt;"",H62-TODAY()&lt;=15),"Renovar exclusividade",IF(AND(I62&gt;=30,N(J62)&lt;3),"Revisar preço (poucas visitas)",IF(AND(I62&gt;=60,N(K62)=0),"Revisar preço (sem propostas)","OK")))))</f>
        <v/>
      </c>
    </row>
    <row r="63">
      <c r="A63" s="14" t="n"/>
      <c r="B63" s="14" t="n"/>
      <c r="C63" s="14" t="n"/>
      <c r="D63" s="4" t="n"/>
      <c r="E63" s="13" t="n"/>
      <c r="F63" s="14" t="n"/>
      <c r="G63" s="12" t="n"/>
      <c r="H63" s="16">
        <f>IF(OR(F63&lt;&gt;"Sim",E63="",G63=""),"",E63+G63)</f>
        <v/>
      </c>
      <c r="I63" s="20">
        <f>IF(E63="","",TODAY()-E63)</f>
        <v/>
      </c>
      <c r="J63" s="12" t="n"/>
      <c r="K63" s="12" t="n"/>
      <c r="L63" s="17">
        <f>IF(E63="","",IF(AND(H63&lt;&gt;"",H63&lt;TODAY()),"Exclusividade vencida",IF(AND(H63&lt;&gt;"",H63-TODAY()&lt;=15),"Renovar exclusividade",IF(AND(I63&gt;=30,N(J63)&lt;3),"Revisar preço (poucas visitas)",IF(AND(I63&gt;=60,N(K63)=0),"Revisar preço (sem propostas)","OK")))))</f>
        <v/>
      </c>
    </row>
    <row r="64">
      <c r="A64" s="14" t="n"/>
      <c r="B64" s="14" t="n"/>
      <c r="C64" s="14" t="n"/>
      <c r="D64" s="4" t="n"/>
      <c r="E64" s="13" t="n"/>
      <c r="F64" s="14" t="n"/>
      <c r="G64" s="12" t="n"/>
      <c r="H64" s="16">
        <f>IF(OR(F64&lt;&gt;"Sim",E64="",G64=""),"",E64+G64)</f>
        <v/>
      </c>
      <c r="I64" s="20">
        <f>IF(E64="","",TODAY()-E64)</f>
        <v/>
      </c>
      <c r="J64" s="12" t="n"/>
      <c r="K64" s="12" t="n"/>
      <c r="L64" s="17">
        <f>IF(E64="","",IF(AND(H64&lt;&gt;"",H64&lt;TODAY()),"Exclusividade vencida",IF(AND(H64&lt;&gt;"",H64-TODAY()&lt;=15),"Renovar exclusividade",IF(AND(I64&gt;=30,N(J64)&lt;3),"Revisar preço (poucas visitas)",IF(AND(I64&gt;=60,N(K64)=0),"Revisar preço (sem propostas)","OK")))))</f>
        <v/>
      </c>
    </row>
    <row r="65">
      <c r="A65" s="14" t="n"/>
      <c r="B65" s="14" t="n"/>
      <c r="C65" s="14" t="n"/>
      <c r="D65" s="4" t="n"/>
      <c r="E65" s="13" t="n"/>
      <c r="F65" s="14" t="n"/>
      <c r="G65" s="12" t="n"/>
      <c r="H65" s="16">
        <f>IF(OR(F65&lt;&gt;"Sim",E65="",G65=""),"",E65+G65)</f>
        <v/>
      </c>
      <c r="I65" s="20">
        <f>IF(E65="","",TODAY()-E65)</f>
        <v/>
      </c>
      <c r="J65" s="12" t="n"/>
      <c r="K65" s="12" t="n"/>
      <c r="L65" s="17">
        <f>IF(E65="","",IF(AND(H65&lt;&gt;"",H65&lt;TODAY()),"Exclusividade vencida",IF(AND(H65&lt;&gt;"",H65-TODAY()&lt;=15),"Renovar exclusividade",IF(AND(I65&gt;=30,N(J65)&lt;3),"Revisar preço (poucas visitas)",IF(AND(I65&gt;=60,N(K65)=0),"Revisar preço (sem propostas)","OK")))))</f>
        <v/>
      </c>
    </row>
    <row r="66">
      <c r="A66" s="14" t="n"/>
      <c r="B66" s="14" t="n"/>
      <c r="C66" s="14" t="n"/>
      <c r="D66" s="4" t="n"/>
      <c r="E66" s="13" t="n"/>
      <c r="F66" s="14" t="n"/>
      <c r="G66" s="12" t="n"/>
      <c r="H66" s="16">
        <f>IF(OR(F66&lt;&gt;"Sim",E66="",G66=""),"",E66+G66)</f>
        <v/>
      </c>
      <c r="I66" s="20">
        <f>IF(E66="","",TODAY()-E66)</f>
        <v/>
      </c>
      <c r="J66" s="12" t="n"/>
      <c r="K66" s="12" t="n"/>
      <c r="L66" s="17">
        <f>IF(E66="","",IF(AND(H66&lt;&gt;"",H66&lt;TODAY()),"Exclusividade vencida",IF(AND(H66&lt;&gt;"",H66-TODAY()&lt;=15),"Renovar exclusividade",IF(AND(I66&gt;=30,N(J66)&lt;3),"Revisar preço (poucas visitas)",IF(AND(I66&gt;=60,N(K66)=0),"Revisar preço (sem propostas)","OK")))))</f>
        <v/>
      </c>
    </row>
    <row r="67">
      <c r="A67" s="14" t="n"/>
      <c r="B67" s="14" t="n"/>
      <c r="C67" s="14" t="n"/>
      <c r="D67" s="4" t="n"/>
      <c r="E67" s="13" t="n"/>
      <c r="F67" s="14" t="n"/>
      <c r="G67" s="12" t="n"/>
      <c r="H67" s="16">
        <f>IF(OR(F67&lt;&gt;"Sim",E67="",G67=""),"",E67+G67)</f>
        <v/>
      </c>
      <c r="I67" s="20">
        <f>IF(E67="","",TODAY()-E67)</f>
        <v/>
      </c>
      <c r="J67" s="12" t="n"/>
      <c r="K67" s="12" t="n"/>
      <c r="L67" s="17">
        <f>IF(E67="","",IF(AND(H67&lt;&gt;"",H67&lt;TODAY()),"Exclusividade vencida",IF(AND(H67&lt;&gt;"",H67-TODAY()&lt;=15),"Renovar exclusividade",IF(AND(I67&gt;=30,N(J67)&lt;3),"Revisar preço (poucas visitas)",IF(AND(I67&gt;=60,N(K67)=0),"Revisar preço (sem propostas)","OK")))))</f>
        <v/>
      </c>
    </row>
    <row r="68">
      <c r="A68" s="14" t="n"/>
      <c r="B68" s="14" t="n"/>
      <c r="C68" s="14" t="n"/>
      <c r="D68" s="4" t="n"/>
      <c r="E68" s="13" t="n"/>
      <c r="F68" s="14" t="n"/>
      <c r="G68" s="12" t="n"/>
      <c r="H68" s="16">
        <f>IF(OR(F68&lt;&gt;"Sim",E68="",G68=""),"",E68+G68)</f>
        <v/>
      </c>
      <c r="I68" s="20">
        <f>IF(E68="","",TODAY()-E68)</f>
        <v/>
      </c>
      <c r="J68" s="12" t="n"/>
      <c r="K68" s="12" t="n"/>
      <c r="L68" s="17">
        <f>IF(E68="","",IF(AND(H68&lt;&gt;"",H68&lt;TODAY()),"Exclusividade vencida",IF(AND(H68&lt;&gt;"",H68-TODAY()&lt;=15),"Renovar exclusividade",IF(AND(I68&gt;=30,N(J68)&lt;3),"Revisar preço (poucas visitas)",IF(AND(I68&gt;=60,N(K68)=0),"Revisar preço (sem propostas)","OK")))))</f>
        <v/>
      </c>
    </row>
    <row r="69">
      <c r="A69" s="14" t="n"/>
      <c r="B69" s="14" t="n"/>
      <c r="C69" s="14" t="n"/>
      <c r="D69" s="4" t="n"/>
      <c r="E69" s="13" t="n"/>
      <c r="F69" s="14" t="n"/>
      <c r="G69" s="12" t="n"/>
      <c r="H69" s="16">
        <f>IF(OR(F69&lt;&gt;"Sim",E69="",G69=""),"",E69+G69)</f>
        <v/>
      </c>
      <c r="I69" s="20">
        <f>IF(E69="","",TODAY()-E69)</f>
        <v/>
      </c>
      <c r="J69" s="12" t="n"/>
      <c r="K69" s="12" t="n"/>
      <c r="L69" s="17">
        <f>IF(E69="","",IF(AND(H69&lt;&gt;"",H69&lt;TODAY()),"Exclusividade vencida",IF(AND(H69&lt;&gt;"",H69-TODAY()&lt;=15),"Renovar exclusividade",IF(AND(I69&gt;=30,N(J69)&lt;3),"Revisar preço (poucas visitas)",IF(AND(I69&gt;=60,N(K69)=0),"Revisar preço (sem propostas)","OK")))))</f>
        <v/>
      </c>
    </row>
    <row r="70">
      <c r="A70" s="14" t="n"/>
      <c r="B70" s="14" t="n"/>
      <c r="C70" s="14" t="n"/>
      <c r="D70" s="4" t="n"/>
      <c r="E70" s="13" t="n"/>
      <c r="F70" s="14" t="n"/>
      <c r="G70" s="12" t="n"/>
      <c r="H70" s="16">
        <f>IF(OR(F70&lt;&gt;"Sim",E70="",G70=""),"",E70+G70)</f>
        <v/>
      </c>
      <c r="I70" s="20">
        <f>IF(E70="","",TODAY()-E70)</f>
        <v/>
      </c>
      <c r="J70" s="12" t="n"/>
      <c r="K70" s="12" t="n"/>
      <c r="L70" s="17">
        <f>IF(E70="","",IF(AND(H70&lt;&gt;"",H70&lt;TODAY()),"Exclusividade vencida",IF(AND(H70&lt;&gt;"",H70-TODAY()&lt;=15),"Renovar exclusividade",IF(AND(I70&gt;=30,N(J70)&lt;3),"Revisar preço (poucas visitas)",IF(AND(I70&gt;=60,N(K70)=0),"Revisar preço (sem propostas)","OK")))))</f>
        <v/>
      </c>
    </row>
    <row r="71">
      <c r="A71" s="14" t="n"/>
      <c r="B71" s="14" t="n"/>
      <c r="C71" s="14" t="n"/>
      <c r="D71" s="4" t="n"/>
      <c r="E71" s="13" t="n"/>
      <c r="F71" s="14" t="n"/>
      <c r="G71" s="12" t="n"/>
      <c r="H71" s="16">
        <f>IF(OR(F71&lt;&gt;"Sim",E71="",G71=""),"",E71+G71)</f>
        <v/>
      </c>
      <c r="I71" s="20">
        <f>IF(E71="","",TODAY()-E71)</f>
        <v/>
      </c>
      <c r="J71" s="12" t="n"/>
      <c r="K71" s="12" t="n"/>
      <c r="L71" s="17">
        <f>IF(E71="","",IF(AND(H71&lt;&gt;"",H71&lt;TODAY()),"Exclusividade vencida",IF(AND(H71&lt;&gt;"",H71-TODAY()&lt;=15),"Renovar exclusividade",IF(AND(I71&gt;=30,N(J71)&lt;3),"Revisar preço (poucas visitas)",IF(AND(I71&gt;=60,N(K71)=0),"Revisar preço (sem propostas)","OK")))))</f>
        <v/>
      </c>
    </row>
    <row r="72">
      <c r="A72" s="14" t="n"/>
      <c r="B72" s="14" t="n"/>
      <c r="C72" s="14" t="n"/>
      <c r="D72" s="4" t="n"/>
      <c r="E72" s="13" t="n"/>
      <c r="F72" s="14" t="n"/>
      <c r="G72" s="12" t="n"/>
      <c r="H72" s="16">
        <f>IF(OR(F72&lt;&gt;"Sim",E72="",G72=""),"",E72+G72)</f>
        <v/>
      </c>
      <c r="I72" s="20">
        <f>IF(E72="","",TODAY()-E72)</f>
        <v/>
      </c>
      <c r="J72" s="12" t="n"/>
      <c r="K72" s="12" t="n"/>
      <c r="L72" s="17">
        <f>IF(E72="","",IF(AND(H72&lt;&gt;"",H72&lt;TODAY()),"Exclusividade vencida",IF(AND(H72&lt;&gt;"",H72-TODAY()&lt;=15),"Renovar exclusividade",IF(AND(I72&gt;=30,N(J72)&lt;3),"Revisar preço (poucas visitas)",IF(AND(I72&gt;=60,N(K72)=0),"Revisar preço (sem propostas)","OK")))))</f>
        <v/>
      </c>
    </row>
    <row r="73">
      <c r="A73" s="14" t="n"/>
      <c r="B73" s="14" t="n"/>
      <c r="C73" s="14" t="n"/>
      <c r="D73" s="4" t="n"/>
      <c r="E73" s="13" t="n"/>
      <c r="F73" s="14" t="n"/>
      <c r="G73" s="12" t="n"/>
      <c r="H73" s="16">
        <f>IF(OR(F73&lt;&gt;"Sim",E73="",G73=""),"",E73+G73)</f>
        <v/>
      </c>
      <c r="I73" s="20">
        <f>IF(E73="","",TODAY()-E73)</f>
        <v/>
      </c>
      <c r="J73" s="12" t="n"/>
      <c r="K73" s="12" t="n"/>
      <c r="L73" s="17">
        <f>IF(E73="","",IF(AND(H73&lt;&gt;"",H73&lt;TODAY()),"Exclusividade vencida",IF(AND(H73&lt;&gt;"",H73-TODAY()&lt;=15),"Renovar exclusividade",IF(AND(I73&gt;=30,N(J73)&lt;3),"Revisar preço (poucas visitas)",IF(AND(I73&gt;=60,N(K73)=0),"Revisar preço (sem propostas)","OK")))))</f>
        <v/>
      </c>
    </row>
    <row r="74">
      <c r="A74" s="14" t="n"/>
      <c r="B74" s="14" t="n"/>
      <c r="C74" s="14" t="n"/>
      <c r="D74" s="4" t="n"/>
      <c r="E74" s="13" t="n"/>
      <c r="F74" s="14" t="n"/>
      <c r="G74" s="12" t="n"/>
      <c r="H74" s="16">
        <f>IF(OR(F74&lt;&gt;"Sim",E74="",G74=""),"",E74+G74)</f>
        <v/>
      </c>
      <c r="I74" s="20">
        <f>IF(E74="","",TODAY()-E74)</f>
        <v/>
      </c>
      <c r="J74" s="12" t="n"/>
      <c r="K74" s="12" t="n"/>
      <c r="L74" s="17">
        <f>IF(E74="","",IF(AND(H74&lt;&gt;"",H74&lt;TODAY()),"Exclusividade vencida",IF(AND(H74&lt;&gt;"",H74-TODAY()&lt;=15),"Renovar exclusividade",IF(AND(I74&gt;=30,N(J74)&lt;3),"Revisar preço (poucas visitas)",IF(AND(I74&gt;=60,N(K74)=0),"Revisar preço (sem propostas)","OK")))))</f>
        <v/>
      </c>
    </row>
    <row r="75">
      <c r="A75" s="14" t="n"/>
      <c r="B75" s="14" t="n"/>
      <c r="C75" s="14" t="n"/>
      <c r="D75" s="4" t="n"/>
      <c r="E75" s="13" t="n"/>
      <c r="F75" s="14" t="n"/>
      <c r="G75" s="12" t="n"/>
      <c r="H75" s="16">
        <f>IF(OR(F75&lt;&gt;"Sim",E75="",G75=""),"",E75+G75)</f>
        <v/>
      </c>
      <c r="I75" s="20">
        <f>IF(E75="","",TODAY()-E75)</f>
        <v/>
      </c>
      <c r="J75" s="12" t="n"/>
      <c r="K75" s="12" t="n"/>
      <c r="L75" s="17">
        <f>IF(E75="","",IF(AND(H75&lt;&gt;"",H75&lt;TODAY()),"Exclusividade vencida",IF(AND(H75&lt;&gt;"",H75-TODAY()&lt;=15),"Renovar exclusividade",IF(AND(I75&gt;=30,N(J75)&lt;3),"Revisar preço (poucas visitas)",IF(AND(I75&gt;=60,N(K75)=0),"Revisar preço (sem propostas)","OK")))))</f>
        <v/>
      </c>
    </row>
    <row r="76">
      <c r="A76" s="14" t="n"/>
      <c r="B76" s="14" t="n"/>
      <c r="C76" s="14" t="n"/>
      <c r="D76" s="4" t="n"/>
      <c r="E76" s="13" t="n"/>
      <c r="F76" s="14" t="n"/>
      <c r="G76" s="12" t="n"/>
      <c r="H76" s="16">
        <f>IF(OR(F76&lt;&gt;"Sim",E76="",G76=""),"",E76+G76)</f>
        <v/>
      </c>
      <c r="I76" s="20">
        <f>IF(E76="","",TODAY()-E76)</f>
        <v/>
      </c>
      <c r="J76" s="12" t="n"/>
      <c r="K76" s="12" t="n"/>
      <c r="L76" s="17">
        <f>IF(E76="","",IF(AND(H76&lt;&gt;"",H76&lt;TODAY()),"Exclusividade vencida",IF(AND(H76&lt;&gt;"",H76-TODAY()&lt;=15),"Renovar exclusividade",IF(AND(I76&gt;=30,N(J76)&lt;3),"Revisar preço (poucas visitas)",IF(AND(I76&gt;=60,N(K76)=0),"Revisar preço (sem propostas)","OK")))))</f>
        <v/>
      </c>
    </row>
    <row r="77">
      <c r="A77" s="14" t="n"/>
      <c r="B77" s="14" t="n"/>
      <c r="C77" s="14" t="n"/>
      <c r="D77" s="4" t="n"/>
      <c r="E77" s="13" t="n"/>
      <c r="F77" s="14" t="n"/>
      <c r="G77" s="12" t="n"/>
      <c r="H77" s="16">
        <f>IF(OR(F77&lt;&gt;"Sim",E77="",G77=""),"",E77+G77)</f>
        <v/>
      </c>
      <c r="I77" s="20">
        <f>IF(E77="","",TODAY()-E77)</f>
        <v/>
      </c>
      <c r="J77" s="12" t="n"/>
      <c r="K77" s="12" t="n"/>
      <c r="L77" s="17">
        <f>IF(E77="","",IF(AND(H77&lt;&gt;"",H77&lt;TODAY()),"Exclusividade vencida",IF(AND(H77&lt;&gt;"",H77-TODAY()&lt;=15),"Renovar exclusividade",IF(AND(I77&gt;=30,N(J77)&lt;3),"Revisar preço (poucas visitas)",IF(AND(I77&gt;=60,N(K77)=0),"Revisar preço (sem propostas)","OK")))))</f>
        <v/>
      </c>
    </row>
    <row r="78">
      <c r="A78" s="14" t="n"/>
      <c r="B78" s="14" t="n"/>
      <c r="C78" s="14" t="n"/>
      <c r="D78" s="4" t="n"/>
      <c r="E78" s="13" t="n"/>
      <c r="F78" s="14" t="n"/>
      <c r="G78" s="12" t="n"/>
      <c r="H78" s="16">
        <f>IF(OR(F78&lt;&gt;"Sim",E78="",G78=""),"",E78+G78)</f>
        <v/>
      </c>
      <c r="I78" s="20">
        <f>IF(E78="","",TODAY()-E78)</f>
        <v/>
      </c>
      <c r="J78" s="12" t="n"/>
      <c r="K78" s="12" t="n"/>
      <c r="L78" s="17">
        <f>IF(E78="","",IF(AND(H78&lt;&gt;"",H78&lt;TODAY()),"Exclusividade vencida",IF(AND(H78&lt;&gt;"",H78-TODAY()&lt;=15),"Renovar exclusividade",IF(AND(I78&gt;=30,N(J78)&lt;3),"Revisar preço (poucas visitas)",IF(AND(I78&gt;=60,N(K78)=0),"Revisar preço (sem propostas)","OK")))))</f>
        <v/>
      </c>
    </row>
    <row r="79">
      <c r="A79" s="14" t="n"/>
      <c r="B79" s="14" t="n"/>
      <c r="C79" s="14" t="n"/>
      <c r="D79" s="4" t="n"/>
      <c r="E79" s="13" t="n"/>
      <c r="F79" s="14" t="n"/>
      <c r="G79" s="12" t="n"/>
      <c r="H79" s="16">
        <f>IF(OR(F79&lt;&gt;"Sim",E79="",G79=""),"",E79+G79)</f>
        <v/>
      </c>
      <c r="I79" s="20">
        <f>IF(E79="","",TODAY()-E79)</f>
        <v/>
      </c>
      <c r="J79" s="12" t="n"/>
      <c r="K79" s="12" t="n"/>
      <c r="L79" s="17">
        <f>IF(E79="","",IF(AND(H79&lt;&gt;"",H79&lt;TODAY()),"Exclusividade vencida",IF(AND(H79&lt;&gt;"",H79-TODAY()&lt;=15),"Renovar exclusividade",IF(AND(I79&gt;=30,N(J79)&lt;3),"Revisar preço (poucas visitas)",IF(AND(I79&gt;=60,N(K79)=0),"Revisar preço (sem propostas)","OK")))))</f>
        <v/>
      </c>
    </row>
    <row r="80">
      <c r="A80" s="14" t="n"/>
      <c r="B80" s="14" t="n"/>
      <c r="C80" s="14" t="n"/>
      <c r="D80" s="4" t="n"/>
      <c r="E80" s="13" t="n"/>
      <c r="F80" s="14" t="n"/>
      <c r="G80" s="12" t="n"/>
      <c r="H80" s="16">
        <f>IF(OR(F80&lt;&gt;"Sim",E80="",G80=""),"",E80+G80)</f>
        <v/>
      </c>
      <c r="I80" s="20">
        <f>IF(E80="","",TODAY()-E80)</f>
        <v/>
      </c>
      <c r="J80" s="12" t="n"/>
      <c r="K80" s="12" t="n"/>
      <c r="L80" s="17">
        <f>IF(E80="","",IF(AND(H80&lt;&gt;"",H80&lt;TODAY()),"Exclusividade vencida",IF(AND(H80&lt;&gt;"",H80-TODAY()&lt;=15),"Renovar exclusividade",IF(AND(I80&gt;=30,N(J80)&lt;3),"Revisar preço (poucas visitas)",IF(AND(I80&gt;=60,N(K80)=0),"Revisar preço (sem propostas)","OK")))))</f>
        <v/>
      </c>
    </row>
    <row r="81">
      <c r="A81" s="14" t="n"/>
      <c r="B81" s="14" t="n"/>
      <c r="C81" s="14" t="n"/>
      <c r="D81" s="4" t="n"/>
      <c r="E81" s="13" t="n"/>
      <c r="F81" s="14" t="n"/>
      <c r="G81" s="12" t="n"/>
      <c r="H81" s="16">
        <f>IF(OR(F81&lt;&gt;"Sim",E81="",G81=""),"",E81+G81)</f>
        <v/>
      </c>
      <c r="I81" s="20">
        <f>IF(E81="","",TODAY()-E81)</f>
        <v/>
      </c>
      <c r="J81" s="12" t="n"/>
      <c r="K81" s="12" t="n"/>
      <c r="L81" s="17">
        <f>IF(E81="","",IF(AND(H81&lt;&gt;"",H81&lt;TODAY()),"Exclusividade vencida",IF(AND(H81&lt;&gt;"",H81-TODAY()&lt;=15),"Renovar exclusividade",IF(AND(I81&gt;=30,N(J81)&lt;3),"Revisar preço (poucas visitas)",IF(AND(I81&gt;=60,N(K81)=0),"Revisar preço (sem propostas)","OK")))))</f>
        <v/>
      </c>
    </row>
    <row r="82">
      <c r="A82" s="14" t="n"/>
      <c r="B82" s="14" t="n"/>
      <c r="C82" s="14" t="n"/>
      <c r="D82" s="4" t="n"/>
      <c r="E82" s="13" t="n"/>
      <c r="F82" s="14" t="n"/>
      <c r="G82" s="12" t="n"/>
      <c r="H82" s="16">
        <f>IF(OR(F82&lt;&gt;"Sim",E82="",G82=""),"",E82+G82)</f>
        <v/>
      </c>
      <c r="I82" s="20">
        <f>IF(E82="","",TODAY()-E82)</f>
        <v/>
      </c>
      <c r="J82" s="12" t="n"/>
      <c r="K82" s="12" t="n"/>
      <c r="L82" s="17">
        <f>IF(E82="","",IF(AND(H82&lt;&gt;"",H82&lt;TODAY()),"Exclusividade vencida",IF(AND(H82&lt;&gt;"",H82-TODAY()&lt;=15),"Renovar exclusividade",IF(AND(I82&gt;=30,N(J82)&lt;3),"Revisar preço (poucas visitas)",IF(AND(I82&gt;=60,N(K82)=0),"Revisar preço (sem propostas)","OK")))))</f>
        <v/>
      </c>
    </row>
    <row r="83">
      <c r="A83" s="14" t="n"/>
      <c r="B83" s="14" t="n"/>
      <c r="C83" s="14" t="n"/>
      <c r="D83" s="4" t="n"/>
      <c r="E83" s="13" t="n"/>
      <c r="F83" s="14" t="n"/>
      <c r="G83" s="12" t="n"/>
      <c r="H83" s="16">
        <f>IF(OR(F83&lt;&gt;"Sim",E83="",G83=""),"",E83+G83)</f>
        <v/>
      </c>
      <c r="I83" s="20">
        <f>IF(E83="","",TODAY()-E83)</f>
        <v/>
      </c>
      <c r="J83" s="12" t="n"/>
      <c r="K83" s="12" t="n"/>
      <c r="L83" s="17">
        <f>IF(E83="","",IF(AND(H83&lt;&gt;"",H83&lt;TODAY()),"Exclusividade vencida",IF(AND(H83&lt;&gt;"",H83-TODAY()&lt;=15),"Renovar exclusividade",IF(AND(I83&gt;=30,N(J83)&lt;3),"Revisar preço (poucas visitas)",IF(AND(I83&gt;=60,N(K83)=0),"Revisar preço (sem propostas)","OK")))))</f>
        <v/>
      </c>
    </row>
    <row r="84">
      <c r="A84" s="14" t="n"/>
      <c r="B84" s="14" t="n"/>
      <c r="C84" s="14" t="n"/>
      <c r="D84" s="4" t="n"/>
      <c r="E84" s="13" t="n"/>
      <c r="F84" s="14" t="n"/>
      <c r="G84" s="12" t="n"/>
      <c r="H84" s="16">
        <f>IF(OR(F84&lt;&gt;"Sim",E84="",G84=""),"",E84+G84)</f>
        <v/>
      </c>
      <c r="I84" s="20">
        <f>IF(E84="","",TODAY()-E84)</f>
        <v/>
      </c>
      <c r="J84" s="12" t="n"/>
      <c r="K84" s="12" t="n"/>
      <c r="L84" s="17">
        <f>IF(E84="","",IF(AND(H84&lt;&gt;"",H84&lt;TODAY()),"Exclusividade vencida",IF(AND(H84&lt;&gt;"",H84-TODAY()&lt;=15),"Renovar exclusividade",IF(AND(I84&gt;=30,N(J84)&lt;3),"Revisar preço (poucas visitas)",IF(AND(I84&gt;=60,N(K84)=0),"Revisar preço (sem propostas)","OK")))))</f>
        <v/>
      </c>
    </row>
    <row r="85">
      <c r="A85" s="14" t="n"/>
      <c r="B85" s="14" t="n"/>
      <c r="C85" s="14" t="n"/>
      <c r="D85" s="4" t="n"/>
      <c r="E85" s="13" t="n"/>
      <c r="F85" s="14" t="n"/>
      <c r="G85" s="12" t="n"/>
      <c r="H85" s="16">
        <f>IF(OR(F85&lt;&gt;"Sim",E85="",G85=""),"",E85+G85)</f>
        <v/>
      </c>
      <c r="I85" s="20">
        <f>IF(E85="","",TODAY()-E85)</f>
        <v/>
      </c>
      <c r="J85" s="12" t="n"/>
      <c r="K85" s="12" t="n"/>
      <c r="L85" s="17">
        <f>IF(E85="","",IF(AND(H85&lt;&gt;"",H85&lt;TODAY()),"Exclusividade vencida",IF(AND(H85&lt;&gt;"",H85-TODAY()&lt;=15),"Renovar exclusividade",IF(AND(I85&gt;=30,N(J85)&lt;3),"Revisar preço (poucas visitas)",IF(AND(I85&gt;=60,N(K85)=0),"Revisar preço (sem propostas)","OK")))))</f>
        <v/>
      </c>
    </row>
    <row r="86">
      <c r="A86" s="14" t="n"/>
      <c r="B86" s="14" t="n"/>
      <c r="C86" s="14" t="n"/>
      <c r="D86" s="4" t="n"/>
      <c r="E86" s="13" t="n"/>
      <c r="F86" s="14" t="n"/>
      <c r="G86" s="12" t="n"/>
      <c r="H86" s="16">
        <f>IF(OR(F86&lt;&gt;"Sim",E86="",G86=""),"",E86+G86)</f>
        <v/>
      </c>
      <c r="I86" s="20">
        <f>IF(E86="","",TODAY()-E86)</f>
        <v/>
      </c>
      <c r="J86" s="12" t="n"/>
      <c r="K86" s="12" t="n"/>
      <c r="L86" s="17">
        <f>IF(E86="","",IF(AND(H86&lt;&gt;"",H86&lt;TODAY()),"Exclusividade vencida",IF(AND(H86&lt;&gt;"",H86-TODAY()&lt;=15),"Renovar exclusividade",IF(AND(I86&gt;=30,N(J86)&lt;3),"Revisar preço (poucas visitas)",IF(AND(I86&gt;=60,N(K86)=0),"Revisar preço (sem propostas)","OK")))))</f>
        <v/>
      </c>
    </row>
    <row r="87">
      <c r="A87" s="14" t="n"/>
      <c r="B87" s="14" t="n"/>
      <c r="C87" s="14" t="n"/>
      <c r="D87" s="4" t="n"/>
      <c r="E87" s="13" t="n"/>
      <c r="F87" s="14" t="n"/>
      <c r="G87" s="12" t="n"/>
      <c r="H87" s="16">
        <f>IF(OR(F87&lt;&gt;"Sim",E87="",G87=""),"",E87+G87)</f>
        <v/>
      </c>
      <c r="I87" s="20">
        <f>IF(E87="","",TODAY()-E87)</f>
        <v/>
      </c>
      <c r="J87" s="12" t="n"/>
      <c r="K87" s="12" t="n"/>
      <c r="L87" s="17">
        <f>IF(E87="","",IF(AND(H87&lt;&gt;"",H87&lt;TODAY()),"Exclusividade vencida",IF(AND(H87&lt;&gt;"",H87-TODAY()&lt;=15),"Renovar exclusividade",IF(AND(I87&gt;=30,N(J87)&lt;3),"Revisar preço (poucas visitas)",IF(AND(I87&gt;=60,N(K87)=0),"Revisar preço (sem propostas)","OK")))))</f>
        <v/>
      </c>
    </row>
    <row r="88">
      <c r="A88" s="14" t="n"/>
      <c r="B88" s="14" t="n"/>
      <c r="C88" s="14" t="n"/>
      <c r="D88" s="4" t="n"/>
      <c r="E88" s="13" t="n"/>
      <c r="F88" s="14" t="n"/>
      <c r="G88" s="12" t="n"/>
      <c r="H88" s="16">
        <f>IF(OR(F88&lt;&gt;"Sim",E88="",G88=""),"",E88+G88)</f>
        <v/>
      </c>
      <c r="I88" s="20">
        <f>IF(E88="","",TODAY()-E88)</f>
        <v/>
      </c>
      <c r="J88" s="12" t="n"/>
      <c r="K88" s="12" t="n"/>
      <c r="L88" s="17">
        <f>IF(E88="","",IF(AND(H88&lt;&gt;"",H88&lt;TODAY()),"Exclusividade vencida",IF(AND(H88&lt;&gt;"",H88-TODAY()&lt;=15),"Renovar exclusividade",IF(AND(I88&gt;=30,N(J88)&lt;3),"Revisar preço (poucas visitas)",IF(AND(I88&gt;=60,N(K88)=0),"Revisar preço (sem propostas)","OK")))))</f>
        <v/>
      </c>
    </row>
    <row r="89">
      <c r="A89" s="14" t="n"/>
      <c r="B89" s="14" t="n"/>
      <c r="C89" s="14" t="n"/>
      <c r="D89" s="4" t="n"/>
      <c r="E89" s="13" t="n"/>
      <c r="F89" s="14" t="n"/>
      <c r="G89" s="12" t="n"/>
      <c r="H89" s="16">
        <f>IF(OR(F89&lt;&gt;"Sim",E89="",G89=""),"",E89+G89)</f>
        <v/>
      </c>
      <c r="I89" s="20">
        <f>IF(E89="","",TODAY()-E89)</f>
        <v/>
      </c>
      <c r="J89" s="12" t="n"/>
      <c r="K89" s="12" t="n"/>
      <c r="L89" s="17">
        <f>IF(E89="","",IF(AND(H89&lt;&gt;"",H89&lt;TODAY()),"Exclusividade vencida",IF(AND(H89&lt;&gt;"",H89-TODAY()&lt;=15),"Renovar exclusividade",IF(AND(I89&gt;=30,N(J89)&lt;3),"Revisar preço (poucas visitas)",IF(AND(I89&gt;=60,N(K89)=0),"Revisar preço (sem propostas)","OK")))))</f>
        <v/>
      </c>
    </row>
    <row r="90">
      <c r="A90" s="14" t="n"/>
      <c r="B90" s="14" t="n"/>
      <c r="C90" s="14" t="n"/>
      <c r="D90" s="4" t="n"/>
      <c r="E90" s="13" t="n"/>
      <c r="F90" s="14" t="n"/>
      <c r="G90" s="12" t="n"/>
      <c r="H90" s="16">
        <f>IF(OR(F90&lt;&gt;"Sim",E90="",G90=""),"",E90+G90)</f>
        <v/>
      </c>
      <c r="I90" s="20">
        <f>IF(E90="","",TODAY()-E90)</f>
        <v/>
      </c>
      <c r="J90" s="12" t="n"/>
      <c r="K90" s="12" t="n"/>
      <c r="L90" s="17">
        <f>IF(E90="","",IF(AND(H90&lt;&gt;"",H90&lt;TODAY()),"Exclusividade vencida",IF(AND(H90&lt;&gt;"",H90-TODAY()&lt;=15),"Renovar exclusividade",IF(AND(I90&gt;=30,N(J90)&lt;3),"Revisar preço (poucas visitas)",IF(AND(I90&gt;=60,N(K90)=0),"Revisar preço (sem propostas)","OK")))))</f>
        <v/>
      </c>
    </row>
    <row r="91">
      <c r="A91" s="14" t="n"/>
      <c r="B91" s="14" t="n"/>
      <c r="C91" s="14" t="n"/>
      <c r="D91" s="4" t="n"/>
      <c r="E91" s="13" t="n"/>
      <c r="F91" s="14" t="n"/>
      <c r="G91" s="12" t="n"/>
      <c r="H91" s="16">
        <f>IF(OR(F91&lt;&gt;"Sim",E91="",G91=""),"",E91+G91)</f>
        <v/>
      </c>
      <c r="I91" s="20">
        <f>IF(E91="","",TODAY()-E91)</f>
        <v/>
      </c>
      <c r="J91" s="12" t="n"/>
      <c r="K91" s="12" t="n"/>
      <c r="L91" s="17">
        <f>IF(E91="","",IF(AND(H91&lt;&gt;"",H91&lt;TODAY()),"Exclusividade vencida",IF(AND(H91&lt;&gt;"",H91-TODAY()&lt;=15),"Renovar exclusividade",IF(AND(I91&gt;=30,N(J91)&lt;3),"Revisar preço (poucas visitas)",IF(AND(I91&gt;=60,N(K91)=0),"Revisar preço (sem propostas)","OK")))))</f>
        <v/>
      </c>
    </row>
    <row r="92">
      <c r="A92" s="14" t="n"/>
      <c r="B92" s="14" t="n"/>
      <c r="C92" s="14" t="n"/>
      <c r="D92" s="4" t="n"/>
      <c r="E92" s="13" t="n"/>
      <c r="F92" s="14" t="n"/>
      <c r="G92" s="12" t="n"/>
      <c r="H92" s="16">
        <f>IF(OR(F92&lt;&gt;"Sim",E92="",G92=""),"",E92+G92)</f>
        <v/>
      </c>
      <c r="I92" s="20">
        <f>IF(E92="","",TODAY()-E92)</f>
        <v/>
      </c>
      <c r="J92" s="12" t="n"/>
      <c r="K92" s="12" t="n"/>
      <c r="L92" s="17">
        <f>IF(E92="","",IF(AND(H92&lt;&gt;"",H92&lt;TODAY()),"Exclusividade vencida",IF(AND(H92&lt;&gt;"",H92-TODAY()&lt;=15),"Renovar exclusividade",IF(AND(I92&gt;=30,N(J92)&lt;3),"Revisar preço (poucas visitas)",IF(AND(I92&gt;=60,N(K92)=0),"Revisar preço (sem propostas)","OK")))))</f>
        <v/>
      </c>
    </row>
    <row r="93">
      <c r="A93" s="14" t="n"/>
      <c r="B93" s="14" t="n"/>
      <c r="C93" s="14" t="n"/>
      <c r="D93" s="4" t="n"/>
      <c r="E93" s="13" t="n"/>
      <c r="F93" s="14" t="n"/>
      <c r="G93" s="12" t="n"/>
      <c r="H93" s="16">
        <f>IF(OR(F93&lt;&gt;"Sim",E93="",G93=""),"",E93+G93)</f>
        <v/>
      </c>
      <c r="I93" s="20">
        <f>IF(E93="","",TODAY()-E93)</f>
        <v/>
      </c>
      <c r="J93" s="12" t="n"/>
      <c r="K93" s="12" t="n"/>
      <c r="L93" s="17">
        <f>IF(E93="","",IF(AND(H93&lt;&gt;"",H93&lt;TODAY()),"Exclusividade vencida",IF(AND(H93&lt;&gt;"",H93-TODAY()&lt;=15),"Renovar exclusividade",IF(AND(I93&gt;=30,N(J93)&lt;3),"Revisar preço (poucas visitas)",IF(AND(I93&gt;=60,N(K93)=0),"Revisar preço (sem propostas)","OK")))))</f>
        <v/>
      </c>
    </row>
    <row r="94">
      <c r="A94" s="14" t="n"/>
      <c r="B94" s="14" t="n"/>
      <c r="C94" s="14" t="n"/>
      <c r="D94" s="4" t="n"/>
      <c r="E94" s="13" t="n"/>
      <c r="F94" s="14" t="n"/>
      <c r="G94" s="12" t="n"/>
      <c r="H94" s="16">
        <f>IF(OR(F94&lt;&gt;"Sim",E94="",G94=""),"",E94+G94)</f>
        <v/>
      </c>
      <c r="I94" s="20">
        <f>IF(E94="","",TODAY()-E94)</f>
        <v/>
      </c>
      <c r="J94" s="12" t="n"/>
      <c r="K94" s="12" t="n"/>
      <c r="L94" s="17">
        <f>IF(E94="","",IF(AND(H94&lt;&gt;"",H94&lt;TODAY()),"Exclusividade vencida",IF(AND(H94&lt;&gt;"",H94-TODAY()&lt;=15),"Renovar exclusividade",IF(AND(I94&gt;=30,N(J94)&lt;3),"Revisar preço (poucas visitas)",IF(AND(I94&gt;=60,N(K94)=0),"Revisar preço (sem propostas)","OK")))))</f>
        <v/>
      </c>
    </row>
    <row r="95">
      <c r="A95" s="14" t="n"/>
      <c r="B95" s="14" t="n"/>
      <c r="C95" s="14" t="n"/>
      <c r="D95" s="4" t="n"/>
      <c r="E95" s="13" t="n"/>
      <c r="F95" s="14" t="n"/>
      <c r="G95" s="12" t="n"/>
      <c r="H95" s="16">
        <f>IF(OR(F95&lt;&gt;"Sim",E95="",G95=""),"",E95+G95)</f>
        <v/>
      </c>
      <c r="I95" s="20">
        <f>IF(E95="","",TODAY()-E95)</f>
        <v/>
      </c>
      <c r="J95" s="12" t="n"/>
      <c r="K95" s="12" t="n"/>
      <c r="L95" s="17">
        <f>IF(E95="","",IF(AND(H95&lt;&gt;"",H95&lt;TODAY()),"Exclusividade vencida",IF(AND(H95&lt;&gt;"",H95-TODAY()&lt;=15),"Renovar exclusividade",IF(AND(I95&gt;=30,N(J95)&lt;3),"Revisar preço (poucas visitas)",IF(AND(I95&gt;=60,N(K95)=0),"Revisar preço (sem propostas)","OK")))))</f>
        <v/>
      </c>
    </row>
    <row r="96">
      <c r="A96" s="14" t="n"/>
      <c r="B96" s="14" t="n"/>
      <c r="C96" s="14" t="n"/>
      <c r="D96" s="4" t="n"/>
      <c r="E96" s="13" t="n"/>
      <c r="F96" s="14" t="n"/>
      <c r="G96" s="12" t="n"/>
      <c r="H96" s="16">
        <f>IF(OR(F96&lt;&gt;"Sim",E96="",G96=""),"",E96+G96)</f>
        <v/>
      </c>
      <c r="I96" s="20">
        <f>IF(E96="","",TODAY()-E96)</f>
        <v/>
      </c>
      <c r="J96" s="12" t="n"/>
      <c r="K96" s="12" t="n"/>
      <c r="L96" s="17">
        <f>IF(E96="","",IF(AND(H96&lt;&gt;"",H96&lt;TODAY()),"Exclusividade vencida",IF(AND(H96&lt;&gt;"",H96-TODAY()&lt;=15),"Renovar exclusividade",IF(AND(I96&gt;=30,N(J96)&lt;3),"Revisar preço (poucas visitas)",IF(AND(I96&gt;=60,N(K96)=0),"Revisar preço (sem propostas)","OK")))))</f>
        <v/>
      </c>
    </row>
    <row r="97">
      <c r="A97" s="14" t="n"/>
      <c r="B97" s="14" t="n"/>
      <c r="C97" s="14" t="n"/>
      <c r="D97" s="4" t="n"/>
      <c r="E97" s="13" t="n"/>
      <c r="F97" s="14" t="n"/>
      <c r="G97" s="12" t="n"/>
      <c r="H97" s="16">
        <f>IF(OR(F97&lt;&gt;"Sim",E97="",G97=""),"",E97+G97)</f>
        <v/>
      </c>
      <c r="I97" s="20">
        <f>IF(E97="","",TODAY()-E97)</f>
        <v/>
      </c>
      <c r="J97" s="12" t="n"/>
      <c r="K97" s="12" t="n"/>
      <c r="L97" s="17">
        <f>IF(E97="","",IF(AND(H97&lt;&gt;"",H97&lt;TODAY()),"Exclusividade vencida",IF(AND(H97&lt;&gt;"",H97-TODAY()&lt;=15),"Renovar exclusividade",IF(AND(I97&gt;=30,N(J97)&lt;3),"Revisar preço (poucas visitas)",IF(AND(I97&gt;=60,N(K97)=0),"Revisar preço (sem propostas)","OK")))))</f>
        <v/>
      </c>
    </row>
    <row r="98">
      <c r="A98" s="14" t="n"/>
      <c r="B98" s="14" t="n"/>
      <c r="C98" s="14" t="n"/>
      <c r="D98" s="4" t="n"/>
      <c r="E98" s="13" t="n"/>
      <c r="F98" s="14" t="n"/>
      <c r="G98" s="12" t="n"/>
      <c r="H98" s="16">
        <f>IF(OR(F98&lt;&gt;"Sim",E98="",G98=""),"",E98+G98)</f>
        <v/>
      </c>
      <c r="I98" s="20">
        <f>IF(E98="","",TODAY()-E98)</f>
        <v/>
      </c>
      <c r="J98" s="12" t="n"/>
      <c r="K98" s="12" t="n"/>
      <c r="L98" s="17">
        <f>IF(E98="","",IF(AND(H98&lt;&gt;"",H98&lt;TODAY()),"Exclusividade vencida",IF(AND(H98&lt;&gt;"",H98-TODAY()&lt;=15),"Renovar exclusividade",IF(AND(I98&gt;=30,N(J98)&lt;3),"Revisar preço (poucas visitas)",IF(AND(I98&gt;=60,N(K98)=0),"Revisar preço (sem propostas)","OK")))))</f>
        <v/>
      </c>
    </row>
    <row r="99">
      <c r="A99" s="14" t="n"/>
      <c r="B99" s="14" t="n"/>
      <c r="C99" s="14" t="n"/>
      <c r="D99" s="4" t="n"/>
      <c r="E99" s="13" t="n"/>
      <c r="F99" s="14" t="n"/>
      <c r="G99" s="12" t="n"/>
      <c r="H99" s="16">
        <f>IF(OR(F99&lt;&gt;"Sim",E99="",G99=""),"",E99+G99)</f>
        <v/>
      </c>
      <c r="I99" s="20">
        <f>IF(E99="","",TODAY()-E99)</f>
        <v/>
      </c>
      <c r="J99" s="12" t="n"/>
      <c r="K99" s="12" t="n"/>
      <c r="L99" s="17">
        <f>IF(E99="","",IF(AND(H99&lt;&gt;"",H99&lt;TODAY()),"Exclusividade vencida",IF(AND(H99&lt;&gt;"",H99-TODAY()&lt;=15),"Renovar exclusividade",IF(AND(I99&gt;=30,N(J99)&lt;3),"Revisar preço (poucas visitas)",IF(AND(I99&gt;=60,N(K99)=0),"Revisar preço (sem propostas)","OK")))))</f>
        <v/>
      </c>
    </row>
    <row r="100">
      <c r="A100" s="14" t="n"/>
      <c r="B100" s="14" t="n"/>
      <c r="C100" s="14" t="n"/>
      <c r="D100" s="4" t="n"/>
      <c r="E100" s="13" t="n"/>
      <c r="F100" s="14" t="n"/>
      <c r="G100" s="12" t="n"/>
      <c r="H100" s="16">
        <f>IF(OR(F100&lt;&gt;"Sim",E100="",G100=""),"",E100+G100)</f>
        <v/>
      </c>
      <c r="I100" s="20">
        <f>IF(E100="","",TODAY()-E100)</f>
        <v/>
      </c>
      <c r="J100" s="12" t="n"/>
      <c r="K100" s="12" t="n"/>
      <c r="L100" s="17">
        <f>IF(E100="","",IF(AND(H100&lt;&gt;"",H100&lt;TODAY()),"Exclusividade vencida",IF(AND(H100&lt;&gt;"",H100-TODAY()&lt;=15),"Renovar exclusividade",IF(AND(I100&gt;=30,N(J100)&lt;3),"Revisar preço (poucas visitas)",IF(AND(I100&gt;=60,N(K100)=0),"Revisar preço (sem propostas)","OK")))))</f>
        <v/>
      </c>
    </row>
    <row r="101">
      <c r="A101" s="14" t="n"/>
      <c r="B101" s="14" t="n"/>
      <c r="C101" s="14" t="n"/>
      <c r="D101" s="4" t="n"/>
      <c r="E101" s="13" t="n"/>
      <c r="F101" s="14" t="n"/>
      <c r="G101" s="12" t="n"/>
      <c r="H101" s="16">
        <f>IF(OR(F101&lt;&gt;"Sim",E101="",G101=""),"",E101+G101)</f>
        <v/>
      </c>
      <c r="I101" s="20">
        <f>IF(E101="","",TODAY()-E101)</f>
        <v/>
      </c>
      <c r="J101" s="12" t="n"/>
      <c r="K101" s="12" t="n"/>
      <c r="L101" s="17">
        <f>IF(E101="","",IF(AND(H101&lt;&gt;"",H101&lt;TODAY()),"Exclusividade vencida",IF(AND(H101&lt;&gt;"",H101-TODAY()&lt;=15),"Renovar exclusividade",IF(AND(I101&gt;=30,N(J101)&lt;3),"Revisar preço (poucas visitas)",IF(AND(I101&gt;=60,N(K101)=0),"Revisar preço (sem propostas)","OK")))))</f>
        <v/>
      </c>
    </row>
    <row r="102">
      <c r="A102" s="14" t="n"/>
      <c r="B102" s="14" t="n"/>
      <c r="C102" s="14" t="n"/>
      <c r="D102" s="4" t="n"/>
      <c r="E102" s="13" t="n"/>
      <c r="F102" s="14" t="n"/>
      <c r="G102" s="12" t="n"/>
      <c r="H102" s="16">
        <f>IF(OR(F102&lt;&gt;"Sim",E102="",G102=""),"",E102+G102)</f>
        <v/>
      </c>
      <c r="I102" s="20">
        <f>IF(E102="","",TODAY()-E102)</f>
        <v/>
      </c>
      <c r="J102" s="12" t="n"/>
      <c r="K102" s="12" t="n"/>
      <c r="L102" s="17">
        <f>IF(E102="","",IF(AND(H102&lt;&gt;"",H102&lt;TODAY()),"Exclusividade vencida",IF(AND(H102&lt;&gt;"",H102-TODAY()&lt;=15),"Renovar exclusividade",IF(AND(I102&gt;=30,N(J102)&lt;3),"Revisar preço (poucas visitas)",IF(AND(I102&gt;=60,N(K102)=0),"Revisar preço (sem propostas)","OK")))))</f>
        <v/>
      </c>
    </row>
    <row r="103">
      <c r="A103" s="14" t="n"/>
      <c r="B103" s="14" t="n"/>
      <c r="C103" s="14" t="n"/>
      <c r="D103" s="4" t="n"/>
      <c r="E103" s="13" t="n"/>
      <c r="F103" s="14" t="n"/>
      <c r="G103" s="12" t="n"/>
      <c r="H103" s="16">
        <f>IF(OR(F103&lt;&gt;"Sim",E103="",G103=""),"",E103+G103)</f>
        <v/>
      </c>
      <c r="I103" s="20">
        <f>IF(E103="","",TODAY()-E103)</f>
        <v/>
      </c>
      <c r="J103" s="12" t="n"/>
      <c r="K103" s="12" t="n"/>
      <c r="L103" s="17">
        <f>IF(E103="","",IF(AND(H103&lt;&gt;"",H103&lt;TODAY()),"Exclusividade vencida",IF(AND(H103&lt;&gt;"",H103-TODAY()&lt;=15),"Renovar exclusividade",IF(AND(I103&gt;=30,N(J103)&lt;3),"Revisar preço (poucas visitas)",IF(AND(I103&gt;=60,N(K103)=0),"Revisar preço (sem propostas)","OK")))))</f>
        <v/>
      </c>
    </row>
    <row r="104">
      <c r="A104" s="14" t="n"/>
      <c r="B104" s="14" t="n"/>
      <c r="C104" s="14" t="n"/>
      <c r="D104" s="4" t="n"/>
      <c r="E104" s="13" t="n"/>
      <c r="F104" s="14" t="n"/>
      <c r="G104" s="12" t="n"/>
      <c r="H104" s="16">
        <f>IF(OR(F104&lt;&gt;"Sim",E104="",G104=""),"",E104+G104)</f>
        <v/>
      </c>
      <c r="I104" s="20">
        <f>IF(E104="","",TODAY()-E104)</f>
        <v/>
      </c>
      <c r="J104" s="12" t="n"/>
      <c r="K104" s="12" t="n"/>
      <c r="L104" s="17">
        <f>IF(E104="","",IF(AND(H104&lt;&gt;"",H104&lt;TODAY()),"Exclusividade vencida",IF(AND(H104&lt;&gt;"",H104-TODAY()&lt;=15),"Renovar exclusividade",IF(AND(I104&gt;=30,N(J104)&lt;3),"Revisar preço (poucas visitas)",IF(AND(I104&gt;=60,N(K104)=0),"Revisar preço (sem propostas)","OK")))))</f>
        <v/>
      </c>
    </row>
  </sheetData>
  <conditionalFormatting sqref="L5:L104">
    <cfRule type="expression" priority="1" dxfId="0">
      <formula>AND($L5&lt;&gt;"",$L5&lt;&gt;"OK")</formula>
    </cfRule>
    <cfRule type="expression" priority="2" dxfId="2">
      <formula>$L5="OK"</formula>
    </cfRule>
  </conditionalFormatting>
  <dataValidations count="1">
    <dataValidation sqref="F5:F10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2" customWidth="1" min="4" max="4"/>
    <col width="13" customWidth="1" min="5" max="5"/>
    <col width="15" customWidth="1" min="6" max="6"/>
    <col width="16" customWidth="1" min="7" max="7"/>
    <col width="11" customWidth="1" min="8" max="8"/>
    <col width="3" customWidth="1" min="9" max="9"/>
    <col width="24" customWidth="1" min="10" max="10"/>
    <col width="18" customWidth="1" min="11" max="11"/>
  </cols>
  <sheetData>
    <row r="1">
      <c r="A1" s="1" t="inlineStr">
        <is>
          <t>Comissões</t>
        </is>
      </c>
    </row>
    <row r="2">
      <c r="A2" s="2" t="inlineStr">
        <is>
          <t>Controle do que foi recebido e do que está a receber.</t>
        </is>
      </c>
    </row>
    <row r="4" ht="36" customHeight="1">
      <c r="A4" s="6" t="inlineStr">
        <is>
          <t>Data da venda</t>
        </is>
      </c>
      <c r="B4" s="6" t="inlineStr">
        <is>
          <t>Imóvel</t>
        </is>
      </c>
      <c r="C4" s="6" t="inlineStr">
        <is>
          <t>Valor da venda</t>
        </is>
      </c>
      <c r="D4" s="6" t="inlineStr">
        <is>
          <t>Comissão (%)</t>
        </is>
      </c>
      <c r="E4" s="6" t="inlineStr">
        <is>
          <t>Minha parte (%)</t>
        </is>
      </c>
      <c r="F4" s="6" t="inlineStr">
        <is>
          <t>Comissão total</t>
        </is>
      </c>
      <c r="G4" s="6" t="inlineStr">
        <is>
          <t>Minha comissão</t>
        </is>
      </c>
      <c r="H4" s="6" t="inlineStr">
        <is>
          <t>Recebido?</t>
        </is>
      </c>
      <c r="J4" t="inlineStr">
        <is>
          <t>Total de vendas (VGV)</t>
        </is>
      </c>
      <c r="K4" s="8">
        <f>SUM(C5:C104)</f>
        <v/>
      </c>
    </row>
    <row r="5">
      <c r="A5" s="13" t="n"/>
      <c r="B5" s="14" t="n"/>
      <c r="C5" s="4" t="n"/>
      <c r="D5" s="5" t="n"/>
      <c r="E5" s="5" t="n"/>
      <c r="F5" s="19">
        <f>IF(C5="","",C5*D5)</f>
        <v/>
      </c>
      <c r="G5" s="8">
        <f>IF(C5="","",F5*E5)</f>
        <v/>
      </c>
      <c r="H5" s="14" t="n"/>
      <c r="J5" t="inlineStr">
        <is>
          <t>Minha comissão total</t>
        </is>
      </c>
      <c r="K5" s="8">
        <f>SUM(G5:G104)</f>
        <v/>
      </c>
    </row>
    <row r="6">
      <c r="A6" s="13" t="n"/>
      <c r="B6" s="14" t="n"/>
      <c r="C6" s="4" t="n"/>
      <c r="D6" s="5" t="n"/>
      <c r="E6" s="5" t="n"/>
      <c r="F6" s="19">
        <f>IF(C6="","",C6*D6)</f>
        <v/>
      </c>
      <c r="G6" s="8">
        <f>IF(C6="","",F6*E6)</f>
        <v/>
      </c>
      <c r="H6" s="14" t="n"/>
      <c r="J6" t="inlineStr">
        <is>
          <t>Recebido</t>
        </is>
      </c>
      <c r="K6" s="8">
        <f>SUMIF(H5:H104,"Sim",G5:G104)</f>
        <v/>
      </c>
    </row>
    <row r="7">
      <c r="A7" s="13" t="n"/>
      <c r="B7" s="14" t="n"/>
      <c r="C7" s="4" t="n"/>
      <c r="D7" s="5" t="n"/>
      <c r="E7" s="5" t="n"/>
      <c r="F7" s="19">
        <f>IF(C7="","",C7*D7)</f>
        <v/>
      </c>
      <c r="G7" s="8">
        <f>IF(C7="","",F7*E7)</f>
        <v/>
      </c>
      <c r="H7" s="14" t="n"/>
      <c r="J7" t="inlineStr">
        <is>
          <t>A receber</t>
        </is>
      </c>
      <c r="K7" s="8">
        <f>K5-K6</f>
        <v/>
      </c>
    </row>
    <row r="8">
      <c r="A8" s="13" t="n"/>
      <c r="B8" s="14" t="n"/>
      <c r="C8" s="4" t="n"/>
      <c r="D8" s="5" t="n"/>
      <c r="E8" s="5" t="n"/>
      <c r="F8" s="19">
        <f>IF(C8="","",C8*D8)</f>
        <v/>
      </c>
      <c r="G8" s="8">
        <f>IF(C8="","",F8*E8)</f>
        <v/>
      </c>
      <c r="H8" s="14" t="n"/>
    </row>
    <row r="9">
      <c r="A9" s="13" t="n"/>
      <c r="B9" s="14" t="n"/>
      <c r="C9" s="4" t="n"/>
      <c r="D9" s="5" t="n"/>
      <c r="E9" s="5" t="n"/>
      <c r="F9" s="19">
        <f>IF(C9="","",C9*D9)</f>
        <v/>
      </c>
      <c r="G9" s="8">
        <f>IF(C9="","",F9*E9)</f>
        <v/>
      </c>
      <c r="H9" s="14" t="n"/>
    </row>
    <row r="10">
      <c r="A10" s="13" t="n"/>
      <c r="B10" s="14" t="n"/>
      <c r="C10" s="4" t="n"/>
      <c r="D10" s="5" t="n"/>
      <c r="E10" s="5" t="n"/>
      <c r="F10" s="19">
        <f>IF(C10="","",C10*D10)</f>
        <v/>
      </c>
      <c r="G10" s="8">
        <f>IF(C10="","",F10*E10)</f>
        <v/>
      </c>
      <c r="H10" s="14" t="n"/>
    </row>
    <row r="11">
      <c r="A11" s="13" t="n"/>
      <c r="B11" s="14" t="n"/>
      <c r="C11" s="4" t="n"/>
      <c r="D11" s="5" t="n"/>
      <c r="E11" s="5" t="n"/>
      <c r="F11" s="19">
        <f>IF(C11="","",C11*D11)</f>
        <v/>
      </c>
      <c r="G11" s="8">
        <f>IF(C11="","",F11*E11)</f>
        <v/>
      </c>
      <c r="H11" s="14" t="n"/>
    </row>
    <row r="12">
      <c r="A12" s="13" t="n"/>
      <c r="B12" s="14" t="n"/>
      <c r="C12" s="4" t="n"/>
      <c r="D12" s="5" t="n"/>
      <c r="E12" s="5" t="n"/>
      <c r="F12" s="19">
        <f>IF(C12="","",C12*D12)</f>
        <v/>
      </c>
      <c r="G12" s="8">
        <f>IF(C12="","",F12*E12)</f>
        <v/>
      </c>
      <c r="H12" s="14" t="n"/>
    </row>
    <row r="13">
      <c r="A13" s="13" t="n"/>
      <c r="B13" s="14" t="n"/>
      <c r="C13" s="4" t="n"/>
      <c r="D13" s="5" t="n"/>
      <c r="E13" s="5" t="n"/>
      <c r="F13" s="19">
        <f>IF(C13="","",C13*D13)</f>
        <v/>
      </c>
      <c r="G13" s="8">
        <f>IF(C13="","",F13*E13)</f>
        <v/>
      </c>
      <c r="H13" s="14" t="n"/>
    </row>
    <row r="14">
      <c r="A14" s="13" t="n"/>
      <c r="B14" s="14" t="n"/>
      <c r="C14" s="4" t="n"/>
      <c r="D14" s="5" t="n"/>
      <c r="E14" s="5" t="n"/>
      <c r="F14" s="19">
        <f>IF(C14="","",C14*D14)</f>
        <v/>
      </c>
      <c r="G14" s="8">
        <f>IF(C14="","",F14*E14)</f>
        <v/>
      </c>
      <c r="H14" s="14" t="n"/>
    </row>
    <row r="15">
      <c r="A15" s="13" t="n"/>
      <c r="B15" s="14" t="n"/>
      <c r="C15" s="4" t="n"/>
      <c r="D15" s="5" t="n"/>
      <c r="E15" s="5" t="n"/>
      <c r="F15" s="19">
        <f>IF(C15="","",C15*D15)</f>
        <v/>
      </c>
      <c r="G15" s="8">
        <f>IF(C15="","",F15*E15)</f>
        <v/>
      </c>
      <c r="H15" s="14" t="n"/>
    </row>
    <row r="16">
      <c r="A16" s="13" t="n"/>
      <c r="B16" s="14" t="n"/>
      <c r="C16" s="4" t="n"/>
      <c r="D16" s="5" t="n"/>
      <c r="E16" s="5" t="n"/>
      <c r="F16" s="19">
        <f>IF(C16="","",C16*D16)</f>
        <v/>
      </c>
      <c r="G16" s="8">
        <f>IF(C16="","",F16*E16)</f>
        <v/>
      </c>
      <c r="H16" s="14" t="n"/>
    </row>
    <row r="17">
      <c r="A17" s="13" t="n"/>
      <c r="B17" s="14" t="n"/>
      <c r="C17" s="4" t="n"/>
      <c r="D17" s="5" t="n"/>
      <c r="E17" s="5" t="n"/>
      <c r="F17" s="19">
        <f>IF(C17="","",C17*D17)</f>
        <v/>
      </c>
      <c r="G17" s="8">
        <f>IF(C17="","",F17*E17)</f>
        <v/>
      </c>
      <c r="H17" s="14" t="n"/>
    </row>
    <row r="18">
      <c r="A18" s="13" t="n"/>
      <c r="B18" s="14" t="n"/>
      <c r="C18" s="4" t="n"/>
      <c r="D18" s="5" t="n"/>
      <c r="E18" s="5" t="n"/>
      <c r="F18" s="19">
        <f>IF(C18="","",C18*D18)</f>
        <v/>
      </c>
      <c r="G18" s="8">
        <f>IF(C18="","",F18*E18)</f>
        <v/>
      </c>
      <c r="H18" s="14" t="n"/>
    </row>
    <row r="19">
      <c r="A19" s="13" t="n"/>
      <c r="B19" s="14" t="n"/>
      <c r="C19" s="4" t="n"/>
      <c r="D19" s="5" t="n"/>
      <c r="E19" s="5" t="n"/>
      <c r="F19" s="19">
        <f>IF(C19="","",C19*D19)</f>
        <v/>
      </c>
      <c r="G19" s="8">
        <f>IF(C19="","",F19*E19)</f>
        <v/>
      </c>
      <c r="H19" s="14" t="n"/>
    </row>
    <row r="20">
      <c r="A20" s="13" t="n"/>
      <c r="B20" s="14" t="n"/>
      <c r="C20" s="4" t="n"/>
      <c r="D20" s="5" t="n"/>
      <c r="E20" s="5" t="n"/>
      <c r="F20" s="19">
        <f>IF(C20="","",C20*D20)</f>
        <v/>
      </c>
      <c r="G20" s="8">
        <f>IF(C20="","",F20*E20)</f>
        <v/>
      </c>
      <c r="H20" s="14" t="n"/>
    </row>
    <row r="21">
      <c r="A21" s="13" t="n"/>
      <c r="B21" s="14" t="n"/>
      <c r="C21" s="4" t="n"/>
      <c r="D21" s="5" t="n"/>
      <c r="E21" s="5" t="n"/>
      <c r="F21" s="19">
        <f>IF(C21="","",C21*D21)</f>
        <v/>
      </c>
      <c r="G21" s="8">
        <f>IF(C21="","",F21*E21)</f>
        <v/>
      </c>
      <c r="H21" s="14" t="n"/>
    </row>
    <row r="22">
      <c r="A22" s="13" t="n"/>
      <c r="B22" s="14" t="n"/>
      <c r="C22" s="4" t="n"/>
      <c r="D22" s="5" t="n"/>
      <c r="E22" s="5" t="n"/>
      <c r="F22" s="19">
        <f>IF(C22="","",C22*D22)</f>
        <v/>
      </c>
      <c r="G22" s="8">
        <f>IF(C22="","",F22*E22)</f>
        <v/>
      </c>
      <c r="H22" s="14" t="n"/>
    </row>
    <row r="23">
      <c r="A23" s="13" t="n"/>
      <c r="B23" s="14" t="n"/>
      <c r="C23" s="4" t="n"/>
      <c r="D23" s="5" t="n"/>
      <c r="E23" s="5" t="n"/>
      <c r="F23" s="19">
        <f>IF(C23="","",C23*D23)</f>
        <v/>
      </c>
      <c r="G23" s="8">
        <f>IF(C23="","",F23*E23)</f>
        <v/>
      </c>
      <c r="H23" s="14" t="n"/>
    </row>
    <row r="24">
      <c r="A24" s="13" t="n"/>
      <c r="B24" s="14" t="n"/>
      <c r="C24" s="4" t="n"/>
      <c r="D24" s="5" t="n"/>
      <c r="E24" s="5" t="n"/>
      <c r="F24" s="19">
        <f>IF(C24="","",C24*D24)</f>
        <v/>
      </c>
      <c r="G24" s="8">
        <f>IF(C24="","",F24*E24)</f>
        <v/>
      </c>
      <c r="H24" s="14" t="n"/>
    </row>
    <row r="25">
      <c r="A25" s="13" t="n"/>
      <c r="B25" s="14" t="n"/>
      <c r="C25" s="4" t="n"/>
      <c r="D25" s="5" t="n"/>
      <c r="E25" s="5" t="n"/>
      <c r="F25" s="19">
        <f>IF(C25="","",C25*D25)</f>
        <v/>
      </c>
      <c r="G25" s="8">
        <f>IF(C25="","",F25*E25)</f>
        <v/>
      </c>
      <c r="H25" s="14" t="n"/>
    </row>
    <row r="26">
      <c r="A26" s="13" t="n"/>
      <c r="B26" s="14" t="n"/>
      <c r="C26" s="4" t="n"/>
      <c r="D26" s="5" t="n"/>
      <c r="E26" s="5" t="n"/>
      <c r="F26" s="19">
        <f>IF(C26="","",C26*D26)</f>
        <v/>
      </c>
      <c r="G26" s="8">
        <f>IF(C26="","",F26*E26)</f>
        <v/>
      </c>
      <c r="H26" s="14" t="n"/>
    </row>
    <row r="27">
      <c r="A27" s="13" t="n"/>
      <c r="B27" s="14" t="n"/>
      <c r="C27" s="4" t="n"/>
      <c r="D27" s="5" t="n"/>
      <c r="E27" s="5" t="n"/>
      <c r="F27" s="19">
        <f>IF(C27="","",C27*D27)</f>
        <v/>
      </c>
      <c r="G27" s="8">
        <f>IF(C27="","",F27*E27)</f>
        <v/>
      </c>
      <c r="H27" s="14" t="n"/>
    </row>
    <row r="28">
      <c r="A28" s="13" t="n"/>
      <c r="B28" s="14" t="n"/>
      <c r="C28" s="4" t="n"/>
      <c r="D28" s="5" t="n"/>
      <c r="E28" s="5" t="n"/>
      <c r="F28" s="19">
        <f>IF(C28="","",C28*D28)</f>
        <v/>
      </c>
      <c r="G28" s="8">
        <f>IF(C28="","",F28*E28)</f>
        <v/>
      </c>
      <c r="H28" s="14" t="n"/>
    </row>
    <row r="29">
      <c r="A29" s="13" t="n"/>
      <c r="B29" s="14" t="n"/>
      <c r="C29" s="4" t="n"/>
      <c r="D29" s="5" t="n"/>
      <c r="E29" s="5" t="n"/>
      <c r="F29" s="19">
        <f>IF(C29="","",C29*D29)</f>
        <v/>
      </c>
      <c r="G29" s="8">
        <f>IF(C29="","",F29*E29)</f>
        <v/>
      </c>
      <c r="H29" s="14" t="n"/>
    </row>
    <row r="30">
      <c r="A30" s="13" t="n"/>
      <c r="B30" s="14" t="n"/>
      <c r="C30" s="4" t="n"/>
      <c r="D30" s="5" t="n"/>
      <c r="E30" s="5" t="n"/>
      <c r="F30" s="19">
        <f>IF(C30="","",C30*D30)</f>
        <v/>
      </c>
      <c r="G30" s="8">
        <f>IF(C30="","",F30*E30)</f>
        <v/>
      </c>
      <c r="H30" s="14" t="n"/>
    </row>
    <row r="31">
      <c r="A31" s="13" t="n"/>
      <c r="B31" s="14" t="n"/>
      <c r="C31" s="4" t="n"/>
      <c r="D31" s="5" t="n"/>
      <c r="E31" s="5" t="n"/>
      <c r="F31" s="19">
        <f>IF(C31="","",C31*D31)</f>
        <v/>
      </c>
      <c r="G31" s="8">
        <f>IF(C31="","",F31*E31)</f>
        <v/>
      </c>
      <c r="H31" s="14" t="n"/>
    </row>
    <row r="32">
      <c r="A32" s="13" t="n"/>
      <c r="B32" s="14" t="n"/>
      <c r="C32" s="4" t="n"/>
      <c r="D32" s="5" t="n"/>
      <c r="E32" s="5" t="n"/>
      <c r="F32" s="19">
        <f>IF(C32="","",C32*D32)</f>
        <v/>
      </c>
      <c r="G32" s="8">
        <f>IF(C32="","",F32*E32)</f>
        <v/>
      </c>
      <c r="H32" s="14" t="n"/>
    </row>
    <row r="33">
      <c r="A33" s="13" t="n"/>
      <c r="B33" s="14" t="n"/>
      <c r="C33" s="4" t="n"/>
      <c r="D33" s="5" t="n"/>
      <c r="E33" s="5" t="n"/>
      <c r="F33" s="19">
        <f>IF(C33="","",C33*D33)</f>
        <v/>
      </c>
      <c r="G33" s="8">
        <f>IF(C33="","",F33*E33)</f>
        <v/>
      </c>
      <c r="H33" s="14" t="n"/>
    </row>
    <row r="34">
      <c r="A34" s="13" t="n"/>
      <c r="B34" s="14" t="n"/>
      <c r="C34" s="4" t="n"/>
      <c r="D34" s="5" t="n"/>
      <c r="E34" s="5" t="n"/>
      <c r="F34" s="19">
        <f>IF(C34="","",C34*D34)</f>
        <v/>
      </c>
      <c r="G34" s="8">
        <f>IF(C34="","",F34*E34)</f>
        <v/>
      </c>
      <c r="H34" s="14" t="n"/>
    </row>
    <row r="35">
      <c r="A35" s="13" t="n"/>
      <c r="B35" s="14" t="n"/>
      <c r="C35" s="4" t="n"/>
      <c r="D35" s="5" t="n"/>
      <c r="E35" s="5" t="n"/>
      <c r="F35" s="19">
        <f>IF(C35="","",C35*D35)</f>
        <v/>
      </c>
      <c r="G35" s="8">
        <f>IF(C35="","",F35*E35)</f>
        <v/>
      </c>
      <c r="H35" s="14" t="n"/>
    </row>
    <row r="36">
      <c r="A36" s="13" t="n"/>
      <c r="B36" s="14" t="n"/>
      <c r="C36" s="4" t="n"/>
      <c r="D36" s="5" t="n"/>
      <c r="E36" s="5" t="n"/>
      <c r="F36" s="19">
        <f>IF(C36="","",C36*D36)</f>
        <v/>
      </c>
      <c r="G36" s="8">
        <f>IF(C36="","",F36*E36)</f>
        <v/>
      </c>
      <c r="H36" s="14" t="n"/>
    </row>
    <row r="37">
      <c r="A37" s="13" t="n"/>
      <c r="B37" s="14" t="n"/>
      <c r="C37" s="4" t="n"/>
      <c r="D37" s="5" t="n"/>
      <c r="E37" s="5" t="n"/>
      <c r="F37" s="19">
        <f>IF(C37="","",C37*D37)</f>
        <v/>
      </c>
      <c r="G37" s="8">
        <f>IF(C37="","",F37*E37)</f>
        <v/>
      </c>
      <c r="H37" s="14" t="n"/>
    </row>
    <row r="38">
      <c r="A38" s="13" t="n"/>
      <c r="B38" s="14" t="n"/>
      <c r="C38" s="4" t="n"/>
      <c r="D38" s="5" t="n"/>
      <c r="E38" s="5" t="n"/>
      <c r="F38" s="19">
        <f>IF(C38="","",C38*D38)</f>
        <v/>
      </c>
      <c r="G38" s="8">
        <f>IF(C38="","",F38*E38)</f>
        <v/>
      </c>
      <c r="H38" s="14" t="n"/>
    </row>
    <row r="39">
      <c r="A39" s="13" t="n"/>
      <c r="B39" s="14" t="n"/>
      <c r="C39" s="4" t="n"/>
      <c r="D39" s="5" t="n"/>
      <c r="E39" s="5" t="n"/>
      <c r="F39" s="19">
        <f>IF(C39="","",C39*D39)</f>
        <v/>
      </c>
      <c r="G39" s="8">
        <f>IF(C39="","",F39*E39)</f>
        <v/>
      </c>
      <c r="H39" s="14" t="n"/>
    </row>
    <row r="40">
      <c r="A40" s="13" t="n"/>
      <c r="B40" s="14" t="n"/>
      <c r="C40" s="4" t="n"/>
      <c r="D40" s="5" t="n"/>
      <c r="E40" s="5" t="n"/>
      <c r="F40" s="19">
        <f>IF(C40="","",C40*D40)</f>
        <v/>
      </c>
      <c r="G40" s="8">
        <f>IF(C40="","",F40*E40)</f>
        <v/>
      </c>
      <c r="H40" s="14" t="n"/>
    </row>
    <row r="41">
      <c r="A41" s="13" t="n"/>
      <c r="B41" s="14" t="n"/>
      <c r="C41" s="4" t="n"/>
      <c r="D41" s="5" t="n"/>
      <c r="E41" s="5" t="n"/>
      <c r="F41" s="19">
        <f>IF(C41="","",C41*D41)</f>
        <v/>
      </c>
      <c r="G41" s="8">
        <f>IF(C41="","",F41*E41)</f>
        <v/>
      </c>
      <c r="H41" s="14" t="n"/>
    </row>
    <row r="42">
      <c r="A42" s="13" t="n"/>
      <c r="B42" s="14" t="n"/>
      <c r="C42" s="4" t="n"/>
      <c r="D42" s="5" t="n"/>
      <c r="E42" s="5" t="n"/>
      <c r="F42" s="19">
        <f>IF(C42="","",C42*D42)</f>
        <v/>
      </c>
      <c r="G42" s="8">
        <f>IF(C42="","",F42*E42)</f>
        <v/>
      </c>
      <c r="H42" s="14" t="n"/>
    </row>
    <row r="43">
      <c r="A43" s="13" t="n"/>
      <c r="B43" s="14" t="n"/>
      <c r="C43" s="4" t="n"/>
      <c r="D43" s="5" t="n"/>
      <c r="E43" s="5" t="n"/>
      <c r="F43" s="19">
        <f>IF(C43="","",C43*D43)</f>
        <v/>
      </c>
      <c r="G43" s="8">
        <f>IF(C43="","",F43*E43)</f>
        <v/>
      </c>
      <c r="H43" s="14" t="n"/>
    </row>
    <row r="44">
      <c r="A44" s="13" t="n"/>
      <c r="B44" s="14" t="n"/>
      <c r="C44" s="4" t="n"/>
      <c r="D44" s="5" t="n"/>
      <c r="E44" s="5" t="n"/>
      <c r="F44" s="19">
        <f>IF(C44="","",C44*D44)</f>
        <v/>
      </c>
      <c r="G44" s="8">
        <f>IF(C44="","",F44*E44)</f>
        <v/>
      </c>
      <c r="H44" s="14" t="n"/>
    </row>
    <row r="45">
      <c r="A45" s="13" t="n"/>
      <c r="B45" s="14" t="n"/>
      <c r="C45" s="4" t="n"/>
      <c r="D45" s="5" t="n"/>
      <c r="E45" s="5" t="n"/>
      <c r="F45" s="19">
        <f>IF(C45="","",C45*D45)</f>
        <v/>
      </c>
      <c r="G45" s="8">
        <f>IF(C45="","",F45*E45)</f>
        <v/>
      </c>
      <c r="H45" s="14" t="n"/>
    </row>
    <row r="46">
      <c r="A46" s="13" t="n"/>
      <c r="B46" s="14" t="n"/>
      <c r="C46" s="4" t="n"/>
      <c r="D46" s="5" t="n"/>
      <c r="E46" s="5" t="n"/>
      <c r="F46" s="19">
        <f>IF(C46="","",C46*D46)</f>
        <v/>
      </c>
      <c r="G46" s="8">
        <f>IF(C46="","",F46*E46)</f>
        <v/>
      </c>
      <c r="H46" s="14" t="n"/>
    </row>
    <row r="47">
      <c r="A47" s="13" t="n"/>
      <c r="B47" s="14" t="n"/>
      <c r="C47" s="4" t="n"/>
      <c r="D47" s="5" t="n"/>
      <c r="E47" s="5" t="n"/>
      <c r="F47" s="19">
        <f>IF(C47="","",C47*D47)</f>
        <v/>
      </c>
      <c r="G47" s="8">
        <f>IF(C47="","",F47*E47)</f>
        <v/>
      </c>
      <c r="H47" s="14" t="n"/>
    </row>
    <row r="48">
      <c r="A48" s="13" t="n"/>
      <c r="B48" s="14" t="n"/>
      <c r="C48" s="4" t="n"/>
      <c r="D48" s="5" t="n"/>
      <c r="E48" s="5" t="n"/>
      <c r="F48" s="19">
        <f>IF(C48="","",C48*D48)</f>
        <v/>
      </c>
      <c r="G48" s="8">
        <f>IF(C48="","",F48*E48)</f>
        <v/>
      </c>
      <c r="H48" s="14" t="n"/>
    </row>
    <row r="49">
      <c r="A49" s="13" t="n"/>
      <c r="B49" s="14" t="n"/>
      <c r="C49" s="4" t="n"/>
      <c r="D49" s="5" t="n"/>
      <c r="E49" s="5" t="n"/>
      <c r="F49" s="19">
        <f>IF(C49="","",C49*D49)</f>
        <v/>
      </c>
      <c r="G49" s="8">
        <f>IF(C49="","",F49*E49)</f>
        <v/>
      </c>
      <c r="H49" s="14" t="n"/>
    </row>
    <row r="50">
      <c r="A50" s="13" t="n"/>
      <c r="B50" s="14" t="n"/>
      <c r="C50" s="4" t="n"/>
      <c r="D50" s="5" t="n"/>
      <c r="E50" s="5" t="n"/>
      <c r="F50" s="19">
        <f>IF(C50="","",C50*D50)</f>
        <v/>
      </c>
      <c r="G50" s="8">
        <f>IF(C50="","",F50*E50)</f>
        <v/>
      </c>
      <c r="H50" s="14" t="n"/>
    </row>
    <row r="51">
      <c r="A51" s="13" t="n"/>
      <c r="B51" s="14" t="n"/>
      <c r="C51" s="4" t="n"/>
      <c r="D51" s="5" t="n"/>
      <c r="E51" s="5" t="n"/>
      <c r="F51" s="19">
        <f>IF(C51="","",C51*D51)</f>
        <v/>
      </c>
      <c r="G51" s="8">
        <f>IF(C51="","",F51*E51)</f>
        <v/>
      </c>
      <c r="H51" s="14" t="n"/>
    </row>
    <row r="52">
      <c r="A52" s="13" t="n"/>
      <c r="B52" s="14" t="n"/>
      <c r="C52" s="4" t="n"/>
      <c r="D52" s="5" t="n"/>
      <c r="E52" s="5" t="n"/>
      <c r="F52" s="19">
        <f>IF(C52="","",C52*D52)</f>
        <v/>
      </c>
      <c r="G52" s="8">
        <f>IF(C52="","",F52*E52)</f>
        <v/>
      </c>
      <c r="H52" s="14" t="n"/>
    </row>
    <row r="53">
      <c r="A53" s="13" t="n"/>
      <c r="B53" s="14" t="n"/>
      <c r="C53" s="4" t="n"/>
      <c r="D53" s="5" t="n"/>
      <c r="E53" s="5" t="n"/>
      <c r="F53" s="19">
        <f>IF(C53="","",C53*D53)</f>
        <v/>
      </c>
      <c r="G53" s="8">
        <f>IF(C53="","",F53*E53)</f>
        <v/>
      </c>
      <c r="H53" s="14" t="n"/>
    </row>
    <row r="54">
      <c r="A54" s="13" t="n"/>
      <c r="B54" s="14" t="n"/>
      <c r="C54" s="4" t="n"/>
      <c r="D54" s="5" t="n"/>
      <c r="E54" s="5" t="n"/>
      <c r="F54" s="19">
        <f>IF(C54="","",C54*D54)</f>
        <v/>
      </c>
      <c r="G54" s="8">
        <f>IF(C54="","",F54*E54)</f>
        <v/>
      </c>
      <c r="H54" s="14" t="n"/>
    </row>
    <row r="55">
      <c r="A55" s="13" t="n"/>
      <c r="B55" s="14" t="n"/>
      <c r="C55" s="4" t="n"/>
      <c r="D55" s="5" t="n"/>
      <c r="E55" s="5" t="n"/>
      <c r="F55" s="19">
        <f>IF(C55="","",C55*D55)</f>
        <v/>
      </c>
      <c r="G55" s="8">
        <f>IF(C55="","",F55*E55)</f>
        <v/>
      </c>
      <c r="H55" s="14" t="n"/>
    </row>
    <row r="56">
      <c r="A56" s="13" t="n"/>
      <c r="B56" s="14" t="n"/>
      <c r="C56" s="4" t="n"/>
      <c r="D56" s="5" t="n"/>
      <c r="E56" s="5" t="n"/>
      <c r="F56" s="19">
        <f>IF(C56="","",C56*D56)</f>
        <v/>
      </c>
      <c r="G56" s="8">
        <f>IF(C56="","",F56*E56)</f>
        <v/>
      </c>
      <c r="H56" s="14" t="n"/>
    </row>
    <row r="57">
      <c r="A57" s="13" t="n"/>
      <c r="B57" s="14" t="n"/>
      <c r="C57" s="4" t="n"/>
      <c r="D57" s="5" t="n"/>
      <c r="E57" s="5" t="n"/>
      <c r="F57" s="19">
        <f>IF(C57="","",C57*D57)</f>
        <v/>
      </c>
      <c r="G57" s="8">
        <f>IF(C57="","",F57*E57)</f>
        <v/>
      </c>
      <c r="H57" s="14" t="n"/>
    </row>
    <row r="58">
      <c r="A58" s="13" t="n"/>
      <c r="B58" s="14" t="n"/>
      <c r="C58" s="4" t="n"/>
      <c r="D58" s="5" t="n"/>
      <c r="E58" s="5" t="n"/>
      <c r="F58" s="19">
        <f>IF(C58="","",C58*D58)</f>
        <v/>
      </c>
      <c r="G58" s="8">
        <f>IF(C58="","",F58*E58)</f>
        <v/>
      </c>
      <c r="H58" s="14" t="n"/>
    </row>
    <row r="59">
      <c r="A59" s="13" t="n"/>
      <c r="B59" s="14" t="n"/>
      <c r="C59" s="4" t="n"/>
      <c r="D59" s="5" t="n"/>
      <c r="E59" s="5" t="n"/>
      <c r="F59" s="19">
        <f>IF(C59="","",C59*D59)</f>
        <v/>
      </c>
      <c r="G59" s="8">
        <f>IF(C59="","",F59*E59)</f>
        <v/>
      </c>
      <c r="H59" s="14" t="n"/>
    </row>
    <row r="60">
      <c r="A60" s="13" t="n"/>
      <c r="B60" s="14" t="n"/>
      <c r="C60" s="4" t="n"/>
      <c r="D60" s="5" t="n"/>
      <c r="E60" s="5" t="n"/>
      <c r="F60" s="19">
        <f>IF(C60="","",C60*D60)</f>
        <v/>
      </c>
      <c r="G60" s="8">
        <f>IF(C60="","",F60*E60)</f>
        <v/>
      </c>
      <c r="H60" s="14" t="n"/>
    </row>
    <row r="61">
      <c r="A61" s="13" t="n"/>
      <c r="B61" s="14" t="n"/>
      <c r="C61" s="4" t="n"/>
      <c r="D61" s="5" t="n"/>
      <c r="E61" s="5" t="n"/>
      <c r="F61" s="19">
        <f>IF(C61="","",C61*D61)</f>
        <v/>
      </c>
      <c r="G61" s="8">
        <f>IF(C61="","",F61*E61)</f>
        <v/>
      </c>
      <c r="H61" s="14" t="n"/>
    </row>
    <row r="62">
      <c r="A62" s="13" t="n"/>
      <c r="B62" s="14" t="n"/>
      <c r="C62" s="4" t="n"/>
      <c r="D62" s="5" t="n"/>
      <c r="E62" s="5" t="n"/>
      <c r="F62" s="19">
        <f>IF(C62="","",C62*D62)</f>
        <v/>
      </c>
      <c r="G62" s="8">
        <f>IF(C62="","",F62*E62)</f>
        <v/>
      </c>
      <c r="H62" s="14" t="n"/>
    </row>
    <row r="63">
      <c r="A63" s="13" t="n"/>
      <c r="B63" s="14" t="n"/>
      <c r="C63" s="4" t="n"/>
      <c r="D63" s="5" t="n"/>
      <c r="E63" s="5" t="n"/>
      <c r="F63" s="19">
        <f>IF(C63="","",C63*D63)</f>
        <v/>
      </c>
      <c r="G63" s="8">
        <f>IF(C63="","",F63*E63)</f>
        <v/>
      </c>
      <c r="H63" s="14" t="n"/>
    </row>
    <row r="64">
      <c r="A64" s="13" t="n"/>
      <c r="B64" s="14" t="n"/>
      <c r="C64" s="4" t="n"/>
      <c r="D64" s="5" t="n"/>
      <c r="E64" s="5" t="n"/>
      <c r="F64" s="19">
        <f>IF(C64="","",C64*D64)</f>
        <v/>
      </c>
      <c r="G64" s="8">
        <f>IF(C64="","",F64*E64)</f>
        <v/>
      </c>
      <c r="H64" s="14" t="n"/>
    </row>
    <row r="65">
      <c r="A65" s="13" t="n"/>
      <c r="B65" s="14" t="n"/>
      <c r="C65" s="4" t="n"/>
      <c r="D65" s="5" t="n"/>
      <c r="E65" s="5" t="n"/>
      <c r="F65" s="19">
        <f>IF(C65="","",C65*D65)</f>
        <v/>
      </c>
      <c r="G65" s="8">
        <f>IF(C65="","",F65*E65)</f>
        <v/>
      </c>
      <c r="H65" s="14" t="n"/>
    </row>
    <row r="66">
      <c r="A66" s="13" t="n"/>
      <c r="B66" s="14" t="n"/>
      <c r="C66" s="4" t="n"/>
      <c r="D66" s="5" t="n"/>
      <c r="E66" s="5" t="n"/>
      <c r="F66" s="19">
        <f>IF(C66="","",C66*D66)</f>
        <v/>
      </c>
      <c r="G66" s="8">
        <f>IF(C66="","",F66*E66)</f>
        <v/>
      </c>
      <c r="H66" s="14" t="n"/>
    </row>
    <row r="67">
      <c r="A67" s="13" t="n"/>
      <c r="B67" s="14" t="n"/>
      <c r="C67" s="4" t="n"/>
      <c r="D67" s="5" t="n"/>
      <c r="E67" s="5" t="n"/>
      <c r="F67" s="19">
        <f>IF(C67="","",C67*D67)</f>
        <v/>
      </c>
      <c r="G67" s="8">
        <f>IF(C67="","",F67*E67)</f>
        <v/>
      </c>
      <c r="H67" s="14" t="n"/>
    </row>
    <row r="68">
      <c r="A68" s="13" t="n"/>
      <c r="B68" s="14" t="n"/>
      <c r="C68" s="4" t="n"/>
      <c r="D68" s="5" t="n"/>
      <c r="E68" s="5" t="n"/>
      <c r="F68" s="19">
        <f>IF(C68="","",C68*D68)</f>
        <v/>
      </c>
      <c r="G68" s="8">
        <f>IF(C68="","",F68*E68)</f>
        <v/>
      </c>
      <c r="H68" s="14" t="n"/>
    </row>
    <row r="69">
      <c r="A69" s="13" t="n"/>
      <c r="B69" s="14" t="n"/>
      <c r="C69" s="4" t="n"/>
      <c r="D69" s="5" t="n"/>
      <c r="E69" s="5" t="n"/>
      <c r="F69" s="19">
        <f>IF(C69="","",C69*D69)</f>
        <v/>
      </c>
      <c r="G69" s="8">
        <f>IF(C69="","",F69*E69)</f>
        <v/>
      </c>
      <c r="H69" s="14" t="n"/>
    </row>
    <row r="70">
      <c r="A70" s="13" t="n"/>
      <c r="B70" s="14" t="n"/>
      <c r="C70" s="4" t="n"/>
      <c r="D70" s="5" t="n"/>
      <c r="E70" s="5" t="n"/>
      <c r="F70" s="19">
        <f>IF(C70="","",C70*D70)</f>
        <v/>
      </c>
      <c r="G70" s="8">
        <f>IF(C70="","",F70*E70)</f>
        <v/>
      </c>
      <c r="H70" s="14" t="n"/>
    </row>
    <row r="71">
      <c r="A71" s="13" t="n"/>
      <c r="B71" s="14" t="n"/>
      <c r="C71" s="4" t="n"/>
      <c r="D71" s="5" t="n"/>
      <c r="E71" s="5" t="n"/>
      <c r="F71" s="19">
        <f>IF(C71="","",C71*D71)</f>
        <v/>
      </c>
      <c r="G71" s="8">
        <f>IF(C71="","",F71*E71)</f>
        <v/>
      </c>
      <c r="H71" s="14" t="n"/>
    </row>
    <row r="72">
      <c r="A72" s="13" t="n"/>
      <c r="B72" s="14" t="n"/>
      <c r="C72" s="4" t="n"/>
      <c r="D72" s="5" t="n"/>
      <c r="E72" s="5" t="n"/>
      <c r="F72" s="19">
        <f>IF(C72="","",C72*D72)</f>
        <v/>
      </c>
      <c r="G72" s="8">
        <f>IF(C72="","",F72*E72)</f>
        <v/>
      </c>
      <c r="H72" s="14" t="n"/>
    </row>
    <row r="73">
      <c r="A73" s="13" t="n"/>
      <c r="B73" s="14" t="n"/>
      <c r="C73" s="4" t="n"/>
      <c r="D73" s="5" t="n"/>
      <c r="E73" s="5" t="n"/>
      <c r="F73" s="19">
        <f>IF(C73="","",C73*D73)</f>
        <v/>
      </c>
      <c r="G73" s="8">
        <f>IF(C73="","",F73*E73)</f>
        <v/>
      </c>
      <c r="H73" s="14" t="n"/>
    </row>
    <row r="74">
      <c r="A74" s="13" t="n"/>
      <c r="B74" s="14" t="n"/>
      <c r="C74" s="4" t="n"/>
      <c r="D74" s="5" t="n"/>
      <c r="E74" s="5" t="n"/>
      <c r="F74" s="19">
        <f>IF(C74="","",C74*D74)</f>
        <v/>
      </c>
      <c r="G74" s="8">
        <f>IF(C74="","",F74*E74)</f>
        <v/>
      </c>
      <c r="H74" s="14" t="n"/>
    </row>
    <row r="75">
      <c r="A75" s="13" t="n"/>
      <c r="B75" s="14" t="n"/>
      <c r="C75" s="4" t="n"/>
      <c r="D75" s="5" t="n"/>
      <c r="E75" s="5" t="n"/>
      <c r="F75" s="19">
        <f>IF(C75="","",C75*D75)</f>
        <v/>
      </c>
      <c r="G75" s="8">
        <f>IF(C75="","",F75*E75)</f>
        <v/>
      </c>
      <c r="H75" s="14" t="n"/>
    </row>
    <row r="76">
      <c r="A76" s="13" t="n"/>
      <c r="B76" s="14" t="n"/>
      <c r="C76" s="4" t="n"/>
      <c r="D76" s="5" t="n"/>
      <c r="E76" s="5" t="n"/>
      <c r="F76" s="19">
        <f>IF(C76="","",C76*D76)</f>
        <v/>
      </c>
      <c r="G76" s="8">
        <f>IF(C76="","",F76*E76)</f>
        <v/>
      </c>
      <c r="H76" s="14" t="n"/>
    </row>
    <row r="77">
      <c r="A77" s="13" t="n"/>
      <c r="B77" s="14" t="n"/>
      <c r="C77" s="4" t="n"/>
      <c r="D77" s="5" t="n"/>
      <c r="E77" s="5" t="n"/>
      <c r="F77" s="19">
        <f>IF(C77="","",C77*D77)</f>
        <v/>
      </c>
      <c r="G77" s="8">
        <f>IF(C77="","",F77*E77)</f>
        <v/>
      </c>
      <c r="H77" s="14" t="n"/>
    </row>
    <row r="78">
      <c r="A78" s="13" t="n"/>
      <c r="B78" s="14" t="n"/>
      <c r="C78" s="4" t="n"/>
      <c r="D78" s="5" t="n"/>
      <c r="E78" s="5" t="n"/>
      <c r="F78" s="19">
        <f>IF(C78="","",C78*D78)</f>
        <v/>
      </c>
      <c r="G78" s="8">
        <f>IF(C78="","",F78*E78)</f>
        <v/>
      </c>
      <c r="H78" s="14" t="n"/>
    </row>
    <row r="79">
      <c r="A79" s="13" t="n"/>
      <c r="B79" s="14" t="n"/>
      <c r="C79" s="4" t="n"/>
      <c r="D79" s="5" t="n"/>
      <c r="E79" s="5" t="n"/>
      <c r="F79" s="19">
        <f>IF(C79="","",C79*D79)</f>
        <v/>
      </c>
      <c r="G79" s="8">
        <f>IF(C79="","",F79*E79)</f>
        <v/>
      </c>
      <c r="H79" s="14" t="n"/>
    </row>
    <row r="80">
      <c r="A80" s="13" t="n"/>
      <c r="B80" s="14" t="n"/>
      <c r="C80" s="4" t="n"/>
      <c r="D80" s="5" t="n"/>
      <c r="E80" s="5" t="n"/>
      <c r="F80" s="19">
        <f>IF(C80="","",C80*D80)</f>
        <v/>
      </c>
      <c r="G80" s="8">
        <f>IF(C80="","",F80*E80)</f>
        <v/>
      </c>
      <c r="H80" s="14" t="n"/>
    </row>
    <row r="81">
      <c r="A81" s="13" t="n"/>
      <c r="B81" s="14" t="n"/>
      <c r="C81" s="4" t="n"/>
      <c r="D81" s="5" t="n"/>
      <c r="E81" s="5" t="n"/>
      <c r="F81" s="19">
        <f>IF(C81="","",C81*D81)</f>
        <v/>
      </c>
      <c r="G81" s="8">
        <f>IF(C81="","",F81*E81)</f>
        <v/>
      </c>
      <c r="H81" s="14" t="n"/>
    </row>
    <row r="82">
      <c r="A82" s="13" t="n"/>
      <c r="B82" s="14" t="n"/>
      <c r="C82" s="4" t="n"/>
      <c r="D82" s="5" t="n"/>
      <c r="E82" s="5" t="n"/>
      <c r="F82" s="19">
        <f>IF(C82="","",C82*D82)</f>
        <v/>
      </c>
      <c r="G82" s="8">
        <f>IF(C82="","",F82*E82)</f>
        <v/>
      </c>
      <c r="H82" s="14" t="n"/>
    </row>
    <row r="83">
      <c r="A83" s="13" t="n"/>
      <c r="B83" s="14" t="n"/>
      <c r="C83" s="4" t="n"/>
      <c r="D83" s="5" t="n"/>
      <c r="E83" s="5" t="n"/>
      <c r="F83" s="19">
        <f>IF(C83="","",C83*D83)</f>
        <v/>
      </c>
      <c r="G83" s="8">
        <f>IF(C83="","",F83*E83)</f>
        <v/>
      </c>
      <c r="H83" s="14" t="n"/>
    </row>
    <row r="84">
      <c r="A84" s="13" t="n"/>
      <c r="B84" s="14" t="n"/>
      <c r="C84" s="4" t="n"/>
      <c r="D84" s="5" t="n"/>
      <c r="E84" s="5" t="n"/>
      <c r="F84" s="19">
        <f>IF(C84="","",C84*D84)</f>
        <v/>
      </c>
      <c r="G84" s="8">
        <f>IF(C84="","",F84*E84)</f>
        <v/>
      </c>
      <c r="H84" s="14" t="n"/>
    </row>
    <row r="85">
      <c r="A85" s="13" t="n"/>
      <c r="B85" s="14" t="n"/>
      <c r="C85" s="4" t="n"/>
      <c r="D85" s="5" t="n"/>
      <c r="E85" s="5" t="n"/>
      <c r="F85" s="19">
        <f>IF(C85="","",C85*D85)</f>
        <v/>
      </c>
      <c r="G85" s="8">
        <f>IF(C85="","",F85*E85)</f>
        <v/>
      </c>
      <c r="H85" s="14" t="n"/>
    </row>
    <row r="86">
      <c r="A86" s="13" t="n"/>
      <c r="B86" s="14" t="n"/>
      <c r="C86" s="4" t="n"/>
      <c r="D86" s="5" t="n"/>
      <c r="E86" s="5" t="n"/>
      <c r="F86" s="19">
        <f>IF(C86="","",C86*D86)</f>
        <v/>
      </c>
      <c r="G86" s="8">
        <f>IF(C86="","",F86*E86)</f>
        <v/>
      </c>
      <c r="H86" s="14" t="n"/>
    </row>
    <row r="87">
      <c r="A87" s="13" t="n"/>
      <c r="B87" s="14" t="n"/>
      <c r="C87" s="4" t="n"/>
      <c r="D87" s="5" t="n"/>
      <c r="E87" s="5" t="n"/>
      <c r="F87" s="19">
        <f>IF(C87="","",C87*D87)</f>
        <v/>
      </c>
      <c r="G87" s="8">
        <f>IF(C87="","",F87*E87)</f>
        <v/>
      </c>
      <c r="H87" s="14" t="n"/>
    </row>
    <row r="88">
      <c r="A88" s="13" t="n"/>
      <c r="B88" s="14" t="n"/>
      <c r="C88" s="4" t="n"/>
      <c r="D88" s="5" t="n"/>
      <c r="E88" s="5" t="n"/>
      <c r="F88" s="19">
        <f>IF(C88="","",C88*D88)</f>
        <v/>
      </c>
      <c r="G88" s="8">
        <f>IF(C88="","",F88*E88)</f>
        <v/>
      </c>
      <c r="H88" s="14" t="n"/>
    </row>
    <row r="89">
      <c r="A89" s="13" t="n"/>
      <c r="B89" s="14" t="n"/>
      <c r="C89" s="4" t="n"/>
      <c r="D89" s="5" t="n"/>
      <c r="E89" s="5" t="n"/>
      <c r="F89" s="19">
        <f>IF(C89="","",C89*D89)</f>
        <v/>
      </c>
      <c r="G89" s="8">
        <f>IF(C89="","",F89*E89)</f>
        <v/>
      </c>
      <c r="H89" s="14" t="n"/>
    </row>
    <row r="90">
      <c r="A90" s="13" t="n"/>
      <c r="B90" s="14" t="n"/>
      <c r="C90" s="4" t="n"/>
      <c r="D90" s="5" t="n"/>
      <c r="E90" s="5" t="n"/>
      <c r="F90" s="19">
        <f>IF(C90="","",C90*D90)</f>
        <v/>
      </c>
      <c r="G90" s="8">
        <f>IF(C90="","",F90*E90)</f>
        <v/>
      </c>
      <c r="H90" s="14" t="n"/>
    </row>
    <row r="91">
      <c r="A91" s="13" t="n"/>
      <c r="B91" s="14" t="n"/>
      <c r="C91" s="4" t="n"/>
      <c r="D91" s="5" t="n"/>
      <c r="E91" s="5" t="n"/>
      <c r="F91" s="19">
        <f>IF(C91="","",C91*D91)</f>
        <v/>
      </c>
      <c r="G91" s="8">
        <f>IF(C91="","",F91*E91)</f>
        <v/>
      </c>
      <c r="H91" s="14" t="n"/>
    </row>
    <row r="92">
      <c r="A92" s="13" t="n"/>
      <c r="B92" s="14" t="n"/>
      <c r="C92" s="4" t="n"/>
      <c r="D92" s="5" t="n"/>
      <c r="E92" s="5" t="n"/>
      <c r="F92" s="19">
        <f>IF(C92="","",C92*D92)</f>
        <v/>
      </c>
      <c r="G92" s="8">
        <f>IF(C92="","",F92*E92)</f>
        <v/>
      </c>
      <c r="H92" s="14" t="n"/>
    </row>
    <row r="93">
      <c r="A93" s="13" t="n"/>
      <c r="B93" s="14" t="n"/>
      <c r="C93" s="4" t="n"/>
      <c r="D93" s="5" t="n"/>
      <c r="E93" s="5" t="n"/>
      <c r="F93" s="19">
        <f>IF(C93="","",C93*D93)</f>
        <v/>
      </c>
      <c r="G93" s="8">
        <f>IF(C93="","",F93*E93)</f>
        <v/>
      </c>
      <c r="H93" s="14" t="n"/>
    </row>
    <row r="94">
      <c r="A94" s="13" t="n"/>
      <c r="B94" s="14" t="n"/>
      <c r="C94" s="4" t="n"/>
      <c r="D94" s="5" t="n"/>
      <c r="E94" s="5" t="n"/>
      <c r="F94" s="19">
        <f>IF(C94="","",C94*D94)</f>
        <v/>
      </c>
      <c r="G94" s="8">
        <f>IF(C94="","",F94*E94)</f>
        <v/>
      </c>
      <c r="H94" s="14" t="n"/>
    </row>
    <row r="95">
      <c r="A95" s="13" t="n"/>
      <c r="B95" s="14" t="n"/>
      <c r="C95" s="4" t="n"/>
      <c r="D95" s="5" t="n"/>
      <c r="E95" s="5" t="n"/>
      <c r="F95" s="19">
        <f>IF(C95="","",C95*D95)</f>
        <v/>
      </c>
      <c r="G95" s="8">
        <f>IF(C95="","",F95*E95)</f>
        <v/>
      </c>
      <c r="H95" s="14" t="n"/>
    </row>
    <row r="96">
      <c r="A96" s="13" t="n"/>
      <c r="B96" s="14" t="n"/>
      <c r="C96" s="4" t="n"/>
      <c r="D96" s="5" t="n"/>
      <c r="E96" s="5" t="n"/>
      <c r="F96" s="19">
        <f>IF(C96="","",C96*D96)</f>
        <v/>
      </c>
      <c r="G96" s="8">
        <f>IF(C96="","",F96*E96)</f>
        <v/>
      </c>
      <c r="H96" s="14" t="n"/>
    </row>
    <row r="97">
      <c r="A97" s="13" t="n"/>
      <c r="B97" s="14" t="n"/>
      <c r="C97" s="4" t="n"/>
      <c r="D97" s="5" t="n"/>
      <c r="E97" s="5" t="n"/>
      <c r="F97" s="19">
        <f>IF(C97="","",C97*D97)</f>
        <v/>
      </c>
      <c r="G97" s="8">
        <f>IF(C97="","",F97*E97)</f>
        <v/>
      </c>
      <c r="H97" s="14" t="n"/>
    </row>
    <row r="98">
      <c r="A98" s="13" t="n"/>
      <c r="B98" s="14" t="n"/>
      <c r="C98" s="4" t="n"/>
      <c r="D98" s="5" t="n"/>
      <c r="E98" s="5" t="n"/>
      <c r="F98" s="19">
        <f>IF(C98="","",C98*D98)</f>
        <v/>
      </c>
      <c r="G98" s="8">
        <f>IF(C98="","",F98*E98)</f>
        <v/>
      </c>
      <c r="H98" s="14" t="n"/>
    </row>
    <row r="99">
      <c r="A99" s="13" t="n"/>
      <c r="B99" s="14" t="n"/>
      <c r="C99" s="4" t="n"/>
      <c r="D99" s="5" t="n"/>
      <c r="E99" s="5" t="n"/>
      <c r="F99" s="19">
        <f>IF(C99="","",C99*D99)</f>
        <v/>
      </c>
      <c r="G99" s="8">
        <f>IF(C99="","",F99*E99)</f>
        <v/>
      </c>
      <c r="H99" s="14" t="n"/>
    </row>
    <row r="100">
      <c r="A100" s="13" t="n"/>
      <c r="B100" s="14" t="n"/>
      <c r="C100" s="4" t="n"/>
      <c r="D100" s="5" t="n"/>
      <c r="E100" s="5" t="n"/>
      <c r="F100" s="19">
        <f>IF(C100="","",C100*D100)</f>
        <v/>
      </c>
      <c r="G100" s="8">
        <f>IF(C100="","",F100*E100)</f>
        <v/>
      </c>
      <c r="H100" s="14" t="n"/>
    </row>
    <row r="101">
      <c r="A101" s="13" t="n"/>
      <c r="B101" s="14" t="n"/>
      <c r="C101" s="4" t="n"/>
      <c r="D101" s="5" t="n"/>
      <c r="E101" s="5" t="n"/>
      <c r="F101" s="19">
        <f>IF(C101="","",C101*D101)</f>
        <v/>
      </c>
      <c r="G101" s="8">
        <f>IF(C101="","",F101*E101)</f>
        <v/>
      </c>
      <c r="H101" s="14" t="n"/>
    </row>
    <row r="102">
      <c r="A102" s="13" t="n"/>
      <c r="B102" s="14" t="n"/>
      <c r="C102" s="4" t="n"/>
      <c r="D102" s="5" t="n"/>
      <c r="E102" s="5" t="n"/>
      <c r="F102" s="19">
        <f>IF(C102="","",C102*D102)</f>
        <v/>
      </c>
      <c r="G102" s="8">
        <f>IF(C102="","",F102*E102)</f>
        <v/>
      </c>
      <c r="H102" s="14" t="n"/>
    </row>
    <row r="103">
      <c r="A103" s="13" t="n"/>
      <c r="B103" s="14" t="n"/>
      <c r="C103" s="4" t="n"/>
      <c r="D103" s="5" t="n"/>
      <c r="E103" s="5" t="n"/>
      <c r="F103" s="19">
        <f>IF(C103="","",C103*D103)</f>
        <v/>
      </c>
      <c r="G103" s="8">
        <f>IF(C103="","",F103*E103)</f>
        <v/>
      </c>
      <c r="H103" s="14" t="n"/>
    </row>
    <row r="104">
      <c r="A104" s="13" t="n"/>
      <c r="B104" s="14" t="n"/>
      <c r="C104" s="4" t="n"/>
      <c r="D104" s="5" t="n"/>
      <c r="E104" s="5" t="n"/>
      <c r="F104" s="19">
        <f>IF(C104="","",C104*D104)</f>
        <v/>
      </c>
      <c r="G104" s="8">
        <f>IF(C104="","",F104*E104)</f>
        <v/>
      </c>
      <c r="H104" s="14" t="n"/>
    </row>
  </sheetData>
  <dataValidations count="1">
    <dataValidation sqref="H5:H104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50" customWidth="1" min="3" max="3"/>
  </cols>
  <sheetData>
    <row r="1">
      <c r="A1" s="1" t="inlineStr">
        <is>
          <t>Simuladores (estimativas)</t>
        </is>
      </c>
    </row>
    <row r="2">
      <c r="A2" s="2" t="inlineStr">
        <is>
          <t>Valores aproximados para orientar a conversa. Os oficiais vêm do banco, da prefeitura e do cartório.</t>
        </is>
      </c>
    </row>
    <row r="4">
      <c r="A4" s="7" t="inlineStr">
        <is>
          <t>1. CUSTOS DA COMPRA</t>
        </is>
      </c>
    </row>
    <row r="5">
      <c r="A5" t="inlineStr">
        <is>
          <t>Valor do imóvel</t>
        </is>
      </c>
      <c r="B5" s="4" t="n">
        <v>500000</v>
      </c>
    </row>
    <row r="6">
      <c r="A6" t="inlineStr">
        <is>
          <t>Alíquota do ITBI da cidade (%)</t>
        </is>
      </c>
      <c r="B6" s="5" t="n">
        <v>0.03</v>
      </c>
      <c r="C6" s="2" t="inlineStr">
        <is>
          <t>Confirme a alíquota e a base de cálculo na prefeitura.</t>
        </is>
      </c>
    </row>
    <row r="7">
      <c r="A7" t="inlineStr">
        <is>
          <t>Escritura + registro (estimativa, % do valor)</t>
        </is>
      </c>
      <c r="B7" s="5" t="n">
        <v>0.015</v>
      </c>
    </row>
    <row r="8">
      <c r="A8" t="inlineStr">
        <is>
          <t>Avaliação e taxas do banco (R$)</t>
        </is>
      </c>
      <c r="B8" s="4" t="n">
        <v>3500</v>
      </c>
    </row>
    <row r="9">
      <c r="A9" s="7" t="inlineStr">
        <is>
          <t>ITBI estimado</t>
        </is>
      </c>
      <c r="B9" s="8">
        <f>B5*B6</f>
        <v/>
      </c>
    </row>
    <row r="10">
      <c r="A10" s="7" t="inlineStr">
        <is>
          <t>Escritura e registro estimados</t>
        </is>
      </c>
      <c r="B10" s="8">
        <f>B5*B7</f>
        <v/>
      </c>
    </row>
    <row r="11">
      <c r="A11" s="7" t="inlineStr">
        <is>
          <t>TOTAL DE CUSTOS</t>
        </is>
      </c>
      <c r="B11" s="8">
        <f>B9+B10+B8</f>
        <v/>
      </c>
    </row>
    <row r="12">
      <c r="A12" s="7" t="inlineStr">
        <is>
          <t>% do valor do imóvel</t>
        </is>
      </c>
      <c r="B12" s="18">
        <f>IF(B5=0,0,B11/B5)</f>
        <v/>
      </c>
    </row>
    <row r="15">
      <c r="A15" s="7" t="inlineStr">
        <is>
          <t>2. FINANCIAMENTO: SAC x PRICE</t>
        </is>
      </c>
    </row>
    <row r="16">
      <c r="A16" t="inlineStr">
        <is>
          <t>Valor do imóvel</t>
        </is>
      </c>
      <c r="B16" s="4" t="n">
        <v>500000</v>
      </c>
    </row>
    <row r="17">
      <c r="A17" t="inlineStr">
        <is>
          <t>Entrada (%)</t>
        </is>
      </c>
      <c r="B17" s="5" t="n">
        <v>0.2</v>
      </c>
    </row>
    <row r="18">
      <c r="A18" t="inlineStr">
        <is>
          <t>Juros ao ano (%)</t>
        </is>
      </c>
      <c r="B18" s="5" t="n">
        <v>0.115</v>
      </c>
    </row>
    <row r="19">
      <c r="A19" t="inlineStr">
        <is>
          <t>Prazo (meses)</t>
        </is>
      </c>
      <c r="B19" s="12" t="n">
        <v>360</v>
      </c>
    </row>
    <row r="20">
      <c r="A20" s="7" t="inlineStr">
        <is>
          <t>Valor da entrada</t>
        </is>
      </c>
      <c r="B20" s="8">
        <f>B16*B17</f>
        <v/>
      </c>
    </row>
    <row r="21">
      <c r="A21" s="7" t="inlineStr">
        <is>
          <t>Valor financiado</t>
        </is>
      </c>
      <c r="B21" s="8">
        <f>B16-B20</f>
        <v/>
      </c>
    </row>
    <row r="22">
      <c r="A22" s="7" t="inlineStr">
        <is>
          <t>Juros ao mês (equivalente)</t>
        </is>
      </c>
      <c r="B22" s="21">
        <f>(1+B18)^(1/12)-1</f>
        <v/>
      </c>
    </row>
    <row r="23">
      <c r="A23" s="7" t="inlineStr">
        <is>
          <t>PRICE: parcela fixa</t>
        </is>
      </c>
      <c r="B23" s="8">
        <f>IF(B22=0,B21/B19,B21*B22/(1-(1+B22)^(-B19)))</f>
        <v/>
      </c>
    </row>
    <row r="24">
      <c r="A24" s="7" t="inlineStr">
        <is>
          <t>SAC: primeira parcela</t>
        </is>
      </c>
      <c r="B24" s="8">
        <f>B21/B19+B21*B22</f>
        <v/>
      </c>
    </row>
    <row r="25">
      <c r="A25" s="7" t="inlineStr">
        <is>
          <t>SAC: última parcela</t>
        </is>
      </c>
      <c r="B25" s="8">
        <f>B21/B19*(1+B22)</f>
        <v/>
      </c>
    </row>
    <row r="26">
      <c r="A26" s="7" t="inlineStr">
        <is>
          <t>PRICE: total de juros</t>
        </is>
      </c>
      <c r="B26" s="8">
        <f>B23*B19-B21</f>
        <v/>
      </c>
    </row>
    <row r="27">
      <c r="A27" s="7" t="inlineStr">
        <is>
          <t>SAC: total de juros</t>
        </is>
      </c>
      <c r="B27" s="8">
        <f>B22*B21*(B19+1)/2</f>
        <v/>
      </c>
    </row>
    <row r="28">
      <c r="A28" s="7" t="inlineStr">
        <is>
          <t>Renda mínima estimada (parcela = 30% da renda) PRICE</t>
        </is>
      </c>
      <c r="B28" s="8">
        <f>B23/0.3</f>
        <v/>
      </c>
    </row>
    <row r="29">
      <c r="A29" s="7" t="inlineStr">
        <is>
          <t>Renda mínima estimada (parcela = 30% da renda) SAC</t>
        </is>
      </c>
      <c r="B29" s="8">
        <f>B24/0.3</f>
        <v/>
      </c>
    </row>
    <row r="31">
      <c r="A31" s="2" t="inlineStr">
        <is>
          <t>Sem seguros obrigatórios, taxas administrativas e correção monetária. O banco informa o CET oficial.</t>
        </is>
      </c>
    </row>
    <row r="34">
      <c r="A34" s="7" t="inlineStr">
        <is>
          <t>3. RENTABILIDADE DE ALUGUEL (investidor)</t>
        </is>
      </c>
    </row>
    <row r="35">
      <c r="A35" t="inlineStr">
        <is>
          <t>Preço do imóvel</t>
        </is>
      </c>
      <c r="B35" s="4" t="n">
        <v>350000</v>
      </c>
    </row>
    <row r="36">
      <c r="A36" t="inlineStr">
        <is>
          <t>Aluguel mensal</t>
        </is>
      </c>
      <c r="B36" s="4" t="n">
        <v>2000</v>
      </c>
    </row>
    <row r="37">
      <c r="A37" t="inlineStr">
        <is>
          <t>Custos mensais do proprietário (IPTU, cond. se vago etc.)</t>
        </is>
      </c>
      <c r="B37" s="4" t="n">
        <v>150</v>
      </c>
    </row>
    <row r="38">
      <c r="A38" t="inlineStr">
        <is>
          <t>Taxa de administração (%)</t>
        </is>
      </c>
      <c r="B38" s="5" t="n">
        <v>0.08</v>
      </c>
    </row>
    <row r="39">
      <c r="A39" t="inlineStr">
        <is>
          <t>Meses vagos por ano (estimativa)</t>
        </is>
      </c>
      <c r="B39" s="12" t="n">
        <v>1</v>
      </c>
    </row>
    <row r="40">
      <c r="A40" s="7" t="inlineStr">
        <is>
          <t>Rentabilidade bruta ao ano</t>
        </is>
      </c>
      <c r="B40" s="18">
        <f>IF(B35=0,0,B36*12/B35)</f>
        <v/>
      </c>
    </row>
    <row r="41">
      <c r="A41" s="7" t="inlineStr">
        <is>
          <t>Renda líquida no ano</t>
        </is>
      </c>
      <c r="B41" s="8">
        <f>B36*(12-B39)*(1-B38)-B37*12</f>
        <v/>
      </c>
    </row>
    <row r="42">
      <c r="A42" s="7" t="inlineStr">
        <is>
          <t>Rentabilidade líquida ao ano</t>
        </is>
      </c>
      <c r="B42" s="18">
        <f>IF(B35=0,0,B41/B35)</f>
        <v/>
      </c>
    </row>
    <row r="43">
      <c r="A43" s="7" t="inlineStr">
        <is>
          <t>Rentabilidade líquida ao mês</t>
        </is>
      </c>
      <c r="B43" s="22">
        <f>(1+B42)^(1/12)-1</f>
        <v/>
      </c>
    </row>
    <row r="45">
      <c r="A45" s="2" t="inlineStr">
        <is>
          <t>Antes de impostos sobre aluguel e sem considerar valorização. Não é recomendação de investimento.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3" customWidth="1" min="4" max="4"/>
    <col width="52" customWidth="1" min="5" max="5"/>
    <col width="9" customWidth="1" min="6" max="6"/>
    <col width="9" customWidth="1" min="7" max="7"/>
  </cols>
  <sheetData>
    <row r="1">
      <c r="A1" s="1" t="inlineStr">
        <is>
          <t>Calendário de conteúdo: 30 dias</t>
        </is>
      </c>
    </row>
    <row r="2">
      <c r="A2" s="2" t="inlineStr">
        <is>
          <t>Gere a semana inteira no domingo com o Prompt 40.</t>
        </is>
      </c>
    </row>
    <row r="4" ht="32" customHeight="1">
      <c r="A4" s="6" t="inlineStr">
        <is>
          <t>Dia</t>
        </is>
      </c>
      <c r="B4" s="6" t="inlineStr">
        <is>
          <t>Semana / foco</t>
        </is>
      </c>
      <c r="C4" s="6" t="inlineStr">
        <is>
          <t>Dia da semana</t>
        </is>
      </c>
      <c r="D4" s="6" t="inlineStr">
        <is>
          <t>Tipo</t>
        </is>
      </c>
      <c r="E4" s="6" t="inlineStr">
        <is>
          <t>Ideia</t>
        </is>
      </c>
      <c r="F4" s="6" t="inlineStr">
        <is>
          <t>Prompt</t>
        </is>
      </c>
      <c r="G4" s="6" t="inlineStr">
        <is>
          <t>Feito?</t>
        </is>
      </c>
    </row>
    <row r="5">
      <c r="A5" t="n">
        <v>1</v>
      </c>
      <c r="B5" t="inlineStr">
        <is>
          <t>1 · Apresentação e território</t>
        </is>
      </c>
      <c r="C5" t="inlineStr">
        <is>
          <t>Seg</t>
        </is>
      </c>
      <c r="D5" t="inlineStr">
        <is>
          <t>Imóvel</t>
        </is>
      </c>
      <c r="E5" t="inlineStr">
        <is>
          <t>Tour em vídeo do imóvel da semana</t>
        </is>
      </c>
      <c r="F5" t="inlineStr">
        <is>
          <t>6</t>
        </is>
      </c>
      <c r="G5" s="14" t="n"/>
    </row>
    <row r="6">
      <c r="A6" t="n">
        <v>2</v>
      </c>
      <c r="B6" t="inlineStr">
        <is>
          <t>1 · Apresentação e território</t>
        </is>
      </c>
      <c r="C6" t="inlineStr">
        <is>
          <t>Ter</t>
        </is>
      </c>
      <c r="D6" t="inlineStr">
        <is>
          <t>Educação</t>
        </is>
      </c>
      <c r="E6" t="inlineStr">
        <is>
          <t>Dica para comprador (financiamento, custos, documentos)</t>
        </is>
      </c>
      <c r="F6" t="inlineStr">
        <is>
          <t>30</t>
        </is>
      </c>
      <c r="G6" s="14" t="n"/>
    </row>
    <row r="7">
      <c r="A7" t="n">
        <v>3</v>
      </c>
      <c r="B7" t="inlineStr">
        <is>
          <t>1 · Apresentação e território</t>
        </is>
      </c>
      <c r="C7" t="inlineStr">
        <is>
          <t>Qua</t>
        </is>
      </c>
      <c r="D7" t="inlineStr">
        <is>
          <t>Bairro</t>
        </is>
      </c>
      <c r="E7" t="inlineStr">
        <is>
          <t>Guia do bairro em carrossel</t>
        </is>
      </c>
      <c r="F7" t="inlineStr">
        <is>
          <t>41</t>
        </is>
      </c>
      <c r="G7" s="14" t="n"/>
    </row>
    <row r="8">
      <c r="A8" t="n">
        <v>4</v>
      </c>
      <c r="B8" t="inlineStr">
        <is>
          <t>1 · Apresentação e território</t>
        </is>
      </c>
      <c r="C8" t="inlineStr">
        <is>
          <t>Qui</t>
        </is>
      </c>
      <c r="D8" t="inlineStr">
        <is>
          <t>Imóvel</t>
        </is>
      </c>
      <c r="E8" t="inlineStr">
        <is>
          <t>Imóvel no feed com legenda</t>
        </is>
      </c>
      <c r="F8" t="inlineStr">
        <is>
          <t>5</t>
        </is>
      </c>
      <c r="G8" s="14" t="n"/>
    </row>
    <row r="9">
      <c r="A9" t="n">
        <v>5</v>
      </c>
      <c r="B9" t="inlineStr">
        <is>
          <t>1 · Apresentação e território</t>
        </is>
      </c>
      <c r="C9" t="inlineStr">
        <is>
          <t>Sex</t>
        </is>
      </c>
      <c r="D9" t="inlineStr">
        <is>
          <t>Mercado</t>
        </is>
      </c>
      <c r="E9" t="inlineStr">
        <is>
          <t>Preço por m² ou conteúdo para proprietários</t>
        </is>
      </c>
      <c r="F9" t="inlineStr">
        <is>
          <t>43</t>
        </is>
      </c>
      <c r="G9" s="14" t="n"/>
    </row>
    <row r="10">
      <c r="A10" t="n">
        <v>6</v>
      </c>
      <c r="B10" t="inlineStr">
        <is>
          <t>1 · Apresentação e território</t>
        </is>
      </c>
      <c r="C10" t="inlineStr">
        <is>
          <t>Sáb</t>
        </is>
      </c>
      <c r="D10" t="inlineStr">
        <is>
          <t>Prova</t>
        </is>
      </c>
      <c r="E10" t="inlineStr">
        <is>
          <t>Vendido, chave entregue ou depoimento</t>
        </is>
      </c>
      <c r="F10" t="inlineStr">
        <is>
          <t>42</t>
        </is>
      </c>
      <c r="G10" s="14" t="n"/>
    </row>
    <row r="11">
      <c r="A11" t="n">
        <v>7</v>
      </c>
      <c r="B11" t="inlineStr">
        <is>
          <t>1 · Apresentação e território</t>
        </is>
      </c>
      <c r="C11" t="inlineStr">
        <is>
          <t>Dom</t>
        </is>
      </c>
      <c r="D11" t="inlineStr">
        <is>
          <t>Planejamento</t>
        </is>
      </c>
      <c r="E11" t="inlineStr">
        <is>
          <t>Gerar os conteúdos da semana</t>
        </is>
      </c>
      <c r="F11" t="inlineStr">
        <is>
          <t>40</t>
        </is>
      </c>
      <c r="G11" s="14" t="n"/>
    </row>
    <row r="12">
      <c r="A12" t="n">
        <v>8</v>
      </c>
      <c r="B12" t="inlineStr">
        <is>
          <t>2 · Compradores</t>
        </is>
      </c>
      <c r="C12" t="inlineStr">
        <is>
          <t>Seg</t>
        </is>
      </c>
      <c r="D12" t="inlineStr">
        <is>
          <t>Imóvel</t>
        </is>
      </c>
      <c r="E12" t="inlineStr">
        <is>
          <t>Tour em vídeo do imóvel da semana</t>
        </is>
      </c>
      <c r="F12" t="inlineStr">
        <is>
          <t>6</t>
        </is>
      </c>
      <c r="G12" s="14" t="n"/>
    </row>
    <row r="13">
      <c r="A13" t="n">
        <v>9</v>
      </c>
      <c r="B13" t="inlineStr">
        <is>
          <t>2 · Compradores</t>
        </is>
      </c>
      <c r="C13" t="inlineStr">
        <is>
          <t>Ter</t>
        </is>
      </c>
      <c r="D13" t="inlineStr">
        <is>
          <t>Educação</t>
        </is>
      </c>
      <c r="E13" t="inlineStr">
        <is>
          <t>Dica para comprador (financiamento, custos, documentos)</t>
        </is>
      </c>
      <c r="F13" t="inlineStr">
        <is>
          <t>30</t>
        </is>
      </c>
      <c r="G13" s="14" t="n"/>
    </row>
    <row r="14">
      <c r="A14" t="n">
        <v>10</v>
      </c>
      <c r="B14" t="inlineStr">
        <is>
          <t>2 · Compradores</t>
        </is>
      </c>
      <c r="C14" t="inlineStr">
        <is>
          <t>Qua</t>
        </is>
      </c>
      <c r="D14" t="inlineStr">
        <is>
          <t>Bairro</t>
        </is>
      </c>
      <c r="E14" t="inlineStr">
        <is>
          <t>Guia do bairro em carrossel</t>
        </is>
      </c>
      <c r="F14" t="inlineStr">
        <is>
          <t>41</t>
        </is>
      </c>
      <c r="G14" s="14" t="n"/>
    </row>
    <row r="15">
      <c r="A15" t="n">
        <v>11</v>
      </c>
      <c r="B15" t="inlineStr">
        <is>
          <t>2 · Compradores</t>
        </is>
      </c>
      <c r="C15" t="inlineStr">
        <is>
          <t>Qui</t>
        </is>
      </c>
      <c r="D15" t="inlineStr">
        <is>
          <t>Imóvel</t>
        </is>
      </c>
      <c r="E15" t="inlineStr">
        <is>
          <t>Imóvel no feed com legenda</t>
        </is>
      </c>
      <c r="F15" t="inlineStr">
        <is>
          <t>5</t>
        </is>
      </c>
      <c r="G15" s="14" t="n"/>
    </row>
    <row r="16">
      <c r="A16" t="n">
        <v>12</v>
      </c>
      <c r="B16" t="inlineStr">
        <is>
          <t>2 · Compradores</t>
        </is>
      </c>
      <c r="C16" t="inlineStr">
        <is>
          <t>Sex</t>
        </is>
      </c>
      <c r="D16" t="inlineStr">
        <is>
          <t>Mercado</t>
        </is>
      </c>
      <c r="E16" t="inlineStr">
        <is>
          <t>Preço por m² ou conteúdo para proprietários</t>
        </is>
      </c>
      <c r="F16" t="inlineStr">
        <is>
          <t>43</t>
        </is>
      </c>
      <c r="G16" s="14" t="n"/>
    </row>
    <row r="17">
      <c r="A17" t="n">
        <v>13</v>
      </c>
      <c r="B17" t="inlineStr">
        <is>
          <t>2 · Compradores</t>
        </is>
      </c>
      <c r="C17" t="inlineStr">
        <is>
          <t>Sáb</t>
        </is>
      </c>
      <c r="D17" t="inlineStr">
        <is>
          <t>Prova</t>
        </is>
      </c>
      <c r="E17" t="inlineStr">
        <is>
          <t>Vendido, chave entregue ou depoimento</t>
        </is>
      </c>
      <c r="F17" t="inlineStr">
        <is>
          <t>42</t>
        </is>
      </c>
      <c r="G17" s="14" t="n"/>
    </row>
    <row r="18">
      <c r="A18" t="n">
        <v>14</v>
      </c>
      <c r="B18" t="inlineStr">
        <is>
          <t>2 · Compradores</t>
        </is>
      </c>
      <c r="C18" t="inlineStr">
        <is>
          <t>Dom</t>
        </is>
      </c>
      <c r="D18" t="inlineStr">
        <is>
          <t>Planejamento</t>
        </is>
      </c>
      <c r="E18" t="inlineStr">
        <is>
          <t>Gerar os conteúdos da semana</t>
        </is>
      </c>
      <c r="F18" t="inlineStr">
        <is>
          <t>40</t>
        </is>
      </c>
      <c r="G18" s="14" t="n"/>
    </row>
    <row r="19">
      <c r="A19" t="n">
        <v>15</v>
      </c>
      <c r="B19" t="inlineStr">
        <is>
          <t>3 · Proprietários (captação)</t>
        </is>
      </c>
      <c r="C19" t="inlineStr">
        <is>
          <t>Seg</t>
        </is>
      </c>
      <c r="D19" t="inlineStr">
        <is>
          <t>Imóvel</t>
        </is>
      </c>
      <c r="E19" t="inlineStr">
        <is>
          <t>Tour em vídeo do imóvel da semana</t>
        </is>
      </c>
      <c r="F19" t="inlineStr">
        <is>
          <t>6</t>
        </is>
      </c>
      <c r="G19" s="14" t="n"/>
    </row>
    <row r="20">
      <c r="A20" t="n">
        <v>16</v>
      </c>
      <c r="B20" t="inlineStr">
        <is>
          <t>3 · Proprietários (captação)</t>
        </is>
      </c>
      <c r="C20" t="inlineStr">
        <is>
          <t>Ter</t>
        </is>
      </c>
      <c r="D20" t="inlineStr">
        <is>
          <t>Educação</t>
        </is>
      </c>
      <c r="E20" t="inlineStr">
        <is>
          <t>Dica para comprador (financiamento, custos, documentos)</t>
        </is>
      </c>
      <c r="F20" t="inlineStr">
        <is>
          <t>30</t>
        </is>
      </c>
      <c r="G20" s="14" t="n"/>
    </row>
    <row r="21">
      <c r="A21" t="n">
        <v>17</v>
      </c>
      <c r="B21" t="inlineStr">
        <is>
          <t>3 · Proprietários (captação)</t>
        </is>
      </c>
      <c r="C21" t="inlineStr">
        <is>
          <t>Qua</t>
        </is>
      </c>
      <c r="D21" t="inlineStr">
        <is>
          <t>Bairro</t>
        </is>
      </c>
      <c r="E21" t="inlineStr">
        <is>
          <t>Guia do bairro em carrossel</t>
        </is>
      </c>
      <c r="F21" t="inlineStr">
        <is>
          <t>41</t>
        </is>
      </c>
      <c r="G21" s="14" t="n"/>
    </row>
    <row r="22">
      <c r="A22" t="n">
        <v>18</v>
      </c>
      <c r="B22" t="inlineStr">
        <is>
          <t>3 · Proprietários (captação)</t>
        </is>
      </c>
      <c r="C22" t="inlineStr">
        <is>
          <t>Qui</t>
        </is>
      </c>
      <c r="D22" t="inlineStr">
        <is>
          <t>Imóvel</t>
        </is>
      </c>
      <c r="E22" t="inlineStr">
        <is>
          <t>Imóvel no feed com legenda</t>
        </is>
      </c>
      <c r="F22" t="inlineStr">
        <is>
          <t>5</t>
        </is>
      </c>
      <c r="G22" s="14" t="n"/>
    </row>
    <row r="23">
      <c r="A23" t="n">
        <v>19</v>
      </c>
      <c r="B23" t="inlineStr">
        <is>
          <t>3 · Proprietários (captação)</t>
        </is>
      </c>
      <c r="C23" t="inlineStr">
        <is>
          <t>Sex</t>
        </is>
      </c>
      <c r="D23" t="inlineStr">
        <is>
          <t>Mercado</t>
        </is>
      </c>
      <c r="E23" t="inlineStr">
        <is>
          <t>Preço por m² ou conteúdo para proprietários</t>
        </is>
      </c>
      <c r="F23" t="inlineStr">
        <is>
          <t>43</t>
        </is>
      </c>
      <c r="G23" s="14" t="n"/>
    </row>
    <row r="24">
      <c r="A24" t="n">
        <v>20</v>
      </c>
      <c r="B24" t="inlineStr">
        <is>
          <t>3 · Proprietários (captação)</t>
        </is>
      </c>
      <c r="C24" t="inlineStr">
        <is>
          <t>Sáb</t>
        </is>
      </c>
      <c r="D24" t="inlineStr">
        <is>
          <t>Prova</t>
        </is>
      </c>
      <c r="E24" t="inlineStr">
        <is>
          <t>Vendido, chave entregue ou depoimento</t>
        </is>
      </c>
      <c r="F24" t="inlineStr">
        <is>
          <t>42</t>
        </is>
      </c>
      <c r="G24" s="14" t="n"/>
    </row>
    <row r="25">
      <c r="A25" t="n">
        <v>21</v>
      </c>
      <c r="B25" t="inlineStr">
        <is>
          <t>3 · Proprietários (captação)</t>
        </is>
      </c>
      <c r="C25" t="inlineStr">
        <is>
          <t>Dom</t>
        </is>
      </c>
      <c r="D25" t="inlineStr">
        <is>
          <t>Planejamento</t>
        </is>
      </c>
      <c r="E25" t="inlineStr">
        <is>
          <t>Gerar os conteúdos da semana</t>
        </is>
      </c>
      <c r="F25" t="inlineStr">
        <is>
          <t>40</t>
        </is>
      </c>
      <c r="G25" s="14" t="n"/>
    </row>
    <row r="26">
      <c r="A26" t="n">
        <v>22</v>
      </c>
      <c r="B26" t="inlineStr">
        <is>
          <t>4 · Prova e indicação</t>
        </is>
      </c>
      <c r="C26" t="inlineStr">
        <is>
          <t>Seg</t>
        </is>
      </c>
      <c r="D26" t="inlineStr">
        <is>
          <t>Imóvel</t>
        </is>
      </c>
      <c r="E26" t="inlineStr">
        <is>
          <t>Tour em vídeo do imóvel da semana</t>
        </is>
      </c>
      <c r="F26" t="inlineStr">
        <is>
          <t>6</t>
        </is>
      </c>
      <c r="G26" s="14" t="n"/>
    </row>
    <row r="27">
      <c r="A27" t="n">
        <v>23</v>
      </c>
      <c r="B27" t="inlineStr">
        <is>
          <t>4 · Prova e indicação</t>
        </is>
      </c>
      <c r="C27" t="inlineStr">
        <is>
          <t>Ter</t>
        </is>
      </c>
      <c r="D27" t="inlineStr">
        <is>
          <t>Educação</t>
        </is>
      </c>
      <c r="E27" t="inlineStr">
        <is>
          <t>Dica para comprador (financiamento, custos, documentos)</t>
        </is>
      </c>
      <c r="F27" t="inlineStr">
        <is>
          <t>30</t>
        </is>
      </c>
      <c r="G27" s="14" t="n"/>
    </row>
    <row r="28">
      <c r="A28" t="n">
        <v>24</v>
      </c>
      <c r="B28" t="inlineStr">
        <is>
          <t>4 · Prova e indicação</t>
        </is>
      </c>
      <c r="C28" t="inlineStr">
        <is>
          <t>Qua</t>
        </is>
      </c>
      <c r="D28" t="inlineStr">
        <is>
          <t>Bairro</t>
        </is>
      </c>
      <c r="E28" t="inlineStr">
        <is>
          <t>Guia do bairro em carrossel</t>
        </is>
      </c>
      <c r="F28" t="inlineStr">
        <is>
          <t>41</t>
        </is>
      </c>
      <c r="G28" s="14" t="n"/>
    </row>
    <row r="29">
      <c r="A29" t="n">
        <v>25</v>
      </c>
      <c r="B29" t="inlineStr">
        <is>
          <t>4 · Prova e indicação</t>
        </is>
      </c>
      <c r="C29" t="inlineStr">
        <is>
          <t>Qui</t>
        </is>
      </c>
      <c r="D29" t="inlineStr">
        <is>
          <t>Imóvel</t>
        </is>
      </c>
      <c r="E29" t="inlineStr">
        <is>
          <t>Imóvel no feed com legenda</t>
        </is>
      </c>
      <c r="F29" t="inlineStr">
        <is>
          <t>5</t>
        </is>
      </c>
      <c r="G29" s="14" t="n"/>
    </row>
    <row r="30">
      <c r="A30" t="n">
        <v>26</v>
      </c>
      <c r="B30" t="inlineStr">
        <is>
          <t>4 · Prova e indicação</t>
        </is>
      </c>
      <c r="C30" t="inlineStr">
        <is>
          <t>Sex</t>
        </is>
      </c>
      <c r="D30" t="inlineStr">
        <is>
          <t>Mercado</t>
        </is>
      </c>
      <c r="E30" t="inlineStr">
        <is>
          <t>Preço por m² ou conteúdo para proprietários</t>
        </is>
      </c>
      <c r="F30" t="inlineStr">
        <is>
          <t>43</t>
        </is>
      </c>
      <c r="G30" s="14" t="n"/>
    </row>
    <row r="31">
      <c r="A31" t="n">
        <v>27</v>
      </c>
      <c r="B31" t="inlineStr">
        <is>
          <t>4 · Prova e indicação</t>
        </is>
      </c>
      <c r="C31" t="inlineStr">
        <is>
          <t>Sáb</t>
        </is>
      </c>
      <c r="D31" t="inlineStr">
        <is>
          <t>Prova</t>
        </is>
      </c>
      <c r="E31" t="inlineStr">
        <is>
          <t>Vendido, chave entregue ou depoimento</t>
        </is>
      </c>
      <c r="F31" t="inlineStr">
        <is>
          <t>42</t>
        </is>
      </c>
      <c r="G31" s="14" t="n"/>
    </row>
    <row r="32">
      <c r="A32" t="n">
        <v>28</v>
      </c>
      <c r="B32" t="inlineStr">
        <is>
          <t>4 · Prova e indicação</t>
        </is>
      </c>
      <c r="C32" t="inlineStr">
        <is>
          <t>Dom</t>
        </is>
      </c>
      <c r="D32" t="inlineStr">
        <is>
          <t>Planejamento</t>
        </is>
      </c>
      <c r="E32" t="inlineStr">
        <is>
          <t>Gerar os conteúdos da semana</t>
        </is>
      </c>
      <c r="F32" t="inlineStr">
        <is>
          <t>40</t>
        </is>
      </c>
      <c r="G32" s="14" t="n"/>
    </row>
    <row r="33">
      <c r="A33" t="n">
        <v>29</v>
      </c>
      <c r="B33" t="inlineStr">
        <is>
          <t>5 · Revisão</t>
        </is>
      </c>
      <c r="C33" t="inlineStr">
        <is>
          <t>Seg</t>
        </is>
      </c>
      <c r="D33" t="inlineStr">
        <is>
          <t>Imóvel</t>
        </is>
      </c>
      <c r="E33" t="inlineStr">
        <is>
          <t>Tour em vídeo do imóvel da semana</t>
        </is>
      </c>
      <c r="F33" t="inlineStr">
        <is>
          <t>6</t>
        </is>
      </c>
      <c r="G33" s="14" t="n"/>
    </row>
    <row r="34">
      <c r="A34" t="n">
        <v>30</v>
      </c>
      <c r="B34" t="inlineStr">
        <is>
          <t>5 · Revisão</t>
        </is>
      </c>
      <c r="C34" t="inlineStr">
        <is>
          <t>Ter</t>
        </is>
      </c>
      <c r="D34" t="inlineStr">
        <is>
          <t>Educação</t>
        </is>
      </c>
      <c r="E34" t="inlineStr">
        <is>
          <t>Dica para comprador (financiamento, custos, documentos)</t>
        </is>
      </c>
      <c r="F34" t="inlineStr">
        <is>
          <t>30</t>
        </is>
      </c>
      <c r="G34" s="14" t="n"/>
    </row>
  </sheetData>
  <conditionalFormatting sqref="A5:G34">
    <cfRule type="expression" priority="1" dxfId="2">
      <formula>$G5="Sim"</formula>
    </cfRule>
  </conditionalFormatting>
  <dataValidations count="1">
    <dataValidation sqref="G5 G6 G7 G8 G9 G10 G11 G12 G13 G14 G15 G16 G17 G18 G19 G20 G21 G22 G23 G24 G25 G26 G27 G28 G29 G30 G31 G32 G33 G3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2026-09-30T20:33:55Z</dcterms:created>
  <dcterms:modified xsi:type="dcterms:W3CDTF">2026-09-30T20:33:55Z</dcterms:modified>
</cp:coreProperties>
</file>