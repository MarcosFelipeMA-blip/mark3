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Orçamento do Mês" sheetId="2" state="visible" r:id="rId2"/>
    <sheet name="Minhas Dívidas" sheetId="3" state="visible" r:id="rId3"/>
    <sheet name="Pl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color rgb="001E7A4C"/>
      <sz val="16"/>
    </font>
    <font>
      <i val="1"/>
      <color rgb="005A6B6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E7A4C"/>
      </patternFill>
    </fill>
    <fill>
      <patternFill patternType="solid">
        <fgColor rgb="00EDF7F1"/>
      </patternFill>
    </fill>
  </fills>
  <borders count="2">
    <border>
      <left/>
      <right/>
      <top/>
      <bottom/>
      <diagonal/>
    </border>
    <border>
      <left style="thin">
        <color rgb="00D3E6DA"/>
      </left>
      <right style="thin">
        <color rgb="00D3E6DA"/>
      </right>
      <top style="thin">
        <color rgb="00D3E6DA"/>
      </top>
      <bottom style="thin">
        <color rgb="00D3E6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164" fontId="0" fillId="4" borderId="1" pivotButton="0" quotePrefix="0" xfId="0"/>
    <xf numFmtId="0" fontId="4" fillId="0" borderId="0" pivotButton="0" quotePrefix="0" xfId="0"/>
    <xf numFmtId="164" fontId="4" fillId="4" borderId="1" pivotButton="0" quotePrefix="0" xfId="0"/>
    <xf numFmtId="10" fontId="4" fillId="4" borderId="1" pivotButton="0" quotePrefix="0" xfId="0"/>
    <xf numFmtId="0" fontId="0" fillId="2" borderId="1" pivotButton="0" quotePrefix="0" xfId="0"/>
    <xf numFmtId="2" fontId="0" fillId="2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" fontId="0" fillId="4" borderId="1" pivotButton="0" quotePrefix="0" xfId="0"/>
  </cellXfs>
  <cellStyles count="1">
    <cellStyle name="Normal" xfId="0" builtinId="0" hidden="0"/>
  </cellStyles>
  <dxfs count="1">
    <dxf>
      <font>
        <b val="1"/>
        <color rgb="00A1262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Contas em Dia com IA — Planilha</t>
        </is>
      </c>
    </row>
    <row r="2">
      <c r="A2" s="2" t="inlineStr">
        <is>
          <t>Preencha só as células amarelas. O resto é calculado sozinho.</t>
        </is>
      </c>
    </row>
    <row r="4">
      <c r="A4" t="inlineStr">
        <is>
          <t>1. Aba 'Orçamento do Mês': coloque suas entradas e seus gastos (use o Prompt 1 do guia para organizar o extrato).</t>
        </is>
      </c>
    </row>
    <row r="5">
      <c r="A5" t="inlineStr">
        <is>
          <t>2. Aba 'Minhas Dívidas': liste TODAS as dívidas, com o saldo de hoje, os juros ao mês e a parcela.</t>
        </is>
      </c>
    </row>
    <row r="6">
      <c r="A6" t="inlineStr">
        <is>
          <t>3. A mesma aba mostra a ordem de pagamento pelos métodos Avalanche (juros maiores primeiro) e Bola de Neve (menor dívida primeiro).</t>
        </is>
      </c>
    </row>
    <row r="7">
      <c r="A7" t="inlineStr">
        <is>
          <t>4. Aba 'Plano': veja quanto sobra por mês e qual dívida atacar primeiro.</t>
        </is>
      </c>
    </row>
    <row r="8">
      <c r="A8" t="inlineStr">
        <is>
          <t>5. Copie a tabela de dívidas e cole no Prompt 6 do guia para a IA montar o plano mês a mês.</t>
        </is>
      </c>
    </row>
    <row r="9">
      <c r="A9" t="inlineStr">
        <is>
          <t>6. Atualize uma vez por mês.</t>
        </is>
      </c>
    </row>
    <row r="10">
      <c r="A10" t="inlineStr"/>
    </row>
    <row r="11">
      <c r="A11" t="inlineStr">
        <is>
          <t>Segurança: não coloque nesta planilha nem na IA seu CPF, senhas ou número do cartão.</t>
        </is>
      </c>
    </row>
    <row r="12">
      <c r="A12" t="inlineStr">
        <is>
          <t>Esta planilha é uma ferramenta educativa. As estimativas de prazo não consideram juros e servem só de referência.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</cols>
  <sheetData>
    <row r="1">
      <c r="A1" s="1" t="inlineStr">
        <is>
          <t>Orçamento do Mês</t>
        </is>
      </c>
    </row>
    <row r="2">
      <c r="A2" s="2" t="inlineStr">
        <is>
          <t>Mês de referência:</t>
        </is>
      </c>
      <c r="C2" s="3" t="n"/>
    </row>
    <row r="4">
      <c r="A4" s="4" t="inlineStr">
        <is>
          <t>Tipo</t>
        </is>
      </c>
      <c r="B4" s="4" t="inlineStr">
        <is>
          <t>Descrição</t>
        </is>
      </c>
      <c r="C4" s="4" t="inlineStr">
        <is>
          <t>Valor (R$)</t>
        </is>
      </c>
    </row>
    <row r="5">
      <c r="A5" s="5" t="inlineStr">
        <is>
          <t>Entrada</t>
        </is>
      </c>
      <c r="B5" s="5" t="inlineStr">
        <is>
          <t>Salário / renda principal</t>
        </is>
      </c>
      <c r="C5" s="6" t="n"/>
    </row>
    <row r="6">
      <c r="A6" s="5" t="inlineStr">
        <is>
          <t>Entrada</t>
        </is>
      </c>
      <c r="B6" s="5" t="inlineStr">
        <is>
          <t>Renda extra</t>
        </is>
      </c>
      <c r="C6" s="6" t="n"/>
    </row>
    <row r="7">
      <c r="A7" s="5" t="inlineStr">
        <is>
          <t>Entrada</t>
        </is>
      </c>
      <c r="B7" s="5" t="inlineStr">
        <is>
          <t>Outros</t>
        </is>
      </c>
      <c r="C7" s="6" t="n"/>
    </row>
    <row r="8">
      <c r="A8" s="5" t="inlineStr">
        <is>
          <t>Essencial</t>
        </is>
      </c>
      <c r="B8" s="5" t="inlineStr">
        <is>
          <t>Aluguel ou prestação</t>
        </is>
      </c>
      <c r="C8" s="6" t="n"/>
    </row>
    <row r="9">
      <c r="A9" s="5" t="inlineStr">
        <is>
          <t>Essencial</t>
        </is>
      </c>
      <c r="B9" s="5" t="inlineStr">
        <is>
          <t>Condomínio</t>
        </is>
      </c>
      <c r="C9" s="6" t="n"/>
    </row>
    <row r="10">
      <c r="A10" s="5" t="inlineStr">
        <is>
          <t>Essencial</t>
        </is>
      </c>
      <c r="B10" s="5" t="inlineStr">
        <is>
          <t>Água</t>
        </is>
      </c>
      <c r="C10" s="6" t="n"/>
    </row>
    <row r="11">
      <c r="A11" s="5" t="inlineStr">
        <is>
          <t>Essencial</t>
        </is>
      </c>
      <c r="B11" s="5" t="inlineStr">
        <is>
          <t>Luz</t>
        </is>
      </c>
      <c r="C11" s="6" t="n"/>
    </row>
    <row r="12">
      <c r="A12" s="5" t="inlineStr">
        <is>
          <t>Essencial</t>
        </is>
      </c>
      <c r="B12" s="5" t="inlineStr">
        <is>
          <t>Gás</t>
        </is>
      </c>
      <c r="C12" s="6" t="n"/>
    </row>
    <row r="13">
      <c r="A13" s="5" t="inlineStr">
        <is>
          <t>Essencial</t>
        </is>
      </c>
      <c r="B13" s="5" t="inlineStr">
        <is>
          <t>Internet e celular</t>
        </is>
      </c>
      <c r="C13" s="6" t="n"/>
    </row>
    <row r="14">
      <c r="A14" s="5" t="inlineStr">
        <is>
          <t>Essencial</t>
        </is>
      </c>
      <c r="B14" s="5" t="inlineStr">
        <is>
          <t>Mercado</t>
        </is>
      </c>
      <c r="C14" s="6" t="n"/>
    </row>
    <row r="15">
      <c r="A15" s="5" t="inlineStr">
        <is>
          <t>Essencial</t>
        </is>
      </c>
      <c r="B15" s="5" t="inlineStr">
        <is>
          <t>Transporte</t>
        </is>
      </c>
      <c r="C15" s="6" t="n"/>
    </row>
    <row r="16">
      <c r="A16" s="5" t="inlineStr">
        <is>
          <t>Essencial</t>
        </is>
      </c>
      <c r="B16" s="5" t="inlineStr">
        <is>
          <t>Saúde e remédios</t>
        </is>
      </c>
      <c r="C16" s="6" t="n"/>
    </row>
    <row r="17">
      <c r="A17" s="5" t="inlineStr">
        <is>
          <t>Essencial</t>
        </is>
      </c>
      <c r="B17" s="5" t="inlineStr">
        <is>
          <t>Educação</t>
        </is>
      </c>
      <c r="C17" s="6" t="n"/>
    </row>
    <row r="18">
      <c r="A18" s="5" t="inlineStr">
        <is>
          <t>Pessoal</t>
        </is>
      </c>
      <c r="B18" s="5" t="inlineStr">
        <is>
          <t>Delivery e alimentação fora</t>
        </is>
      </c>
      <c r="C18" s="6" t="n"/>
    </row>
    <row r="19">
      <c r="A19" s="5" t="inlineStr">
        <is>
          <t>Pessoal</t>
        </is>
      </c>
      <c r="B19" s="5" t="inlineStr">
        <is>
          <t>Assinaturas (streaming, apps)</t>
        </is>
      </c>
      <c r="C19" s="6" t="n"/>
    </row>
    <row r="20">
      <c r="A20" s="5" t="inlineStr">
        <is>
          <t>Pessoal</t>
        </is>
      </c>
      <c r="B20" s="5" t="inlineStr">
        <is>
          <t>Lazer</t>
        </is>
      </c>
      <c r="C20" s="6" t="n"/>
    </row>
    <row r="21">
      <c r="A21" s="5" t="inlineStr">
        <is>
          <t>Pessoal</t>
        </is>
      </c>
      <c r="B21" s="5" t="inlineStr">
        <is>
          <t>Roupas e compras</t>
        </is>
      </c>
      <c r="C21" s="6" t="n"/>
    </row>
    <row r="22">
      <c r="A22" s="5" t="inlineStr">
        <is>
          <t>Pessoal</t>
        </is>
      </c>
      <c r="B22" s="5" t="inlineStr">
        <is>
          <t>Outros</t>
        </is>
      </c>
      <c r="C22" s="6" t="n"/>
    </row>
    <row r="23">
      <c r="A23" s="5" t="inlineStr">
        <is>
          <t>Dívidas</t>
        </is>
      </c>
      <c r="B23" s="5" t="inlineStr">
        <is>
          <t>Parcelas de dívidas (total da aba Dívidas)</t>
        </is>
      </c>
      <c r="C23" s="7">
        <f>'Minhas Dívidas'!F18</f>
        <v/>
      </c>
    </row>
    <row r="25">
      <c r="B25" s="8" t="inlineStr">
        <is>
          <t>Total de entradas</t>
        </is>
      </c>
      <c r="C25" s="9">
        <f>SUMIF(A5:A23,"Entrada",C5:C23)</f>
        <v/>
      </c>
    </row>
    <row r="26">
      <c r="B26" s="8" t="inlineStr">
        <is>
          <t>Total essencial</t>
        </is>
      </c>
      <c r="C26" s="9">
        <f>SUMIF(A5:A23,"Essencial",C5:C23)</f>
        <v/>
      </c>
    </row>
    <row r="27">
      <c r="B27" s="8" t="inlineStr">
        <is>
          <t>Total pessoal</t>
        </is>
      </c>
      <c r="C27" s="9">
        <f>SUMIF(A5:A23,"Pessoal",C5:C23)</f>
        <v/>
      </c>
    </row>
    <row r="28">
      <c r="B28" s="8" t="inlineStr">
        <is>
          <t>Total de parcelas de dívidas</t>
        </is>
      </c>
      <c r="C28" s="9">
        <f>SUMIF(A5:A23,"Dívidas",C5:C23)</f>
        <v/>
      </c>
    </row>
    <row r="29">
      <c r="B29" s="8" t="inlineStr">
        <is>
          <t>SOBRA DO MÊS</t>
        </is>
      </c>
      <c r="C29" s="9">
        <f>C25-C26-C27-C28</f>
        <v/>
      </c>
    </row>
    <row r="30">
      <c r="B30" s="8" t="inlineStr">
        <is>
          <t>% da renda em essenciais</t>
        </is>
      </c>
      <c r="C30" s="10">
        <f>IF(C25=0,0,C26/C25)</f>
        <v/>
      </c>
    </row>
    <row r="31">
      <c r="B31" s="8" t="inlineStr">
        <is>
          <t>% da renda em dívidas</t>
        </is>
      </c>
      <c r="C31" s="10">
        <f>IF(C25=0,0,C28/C25)</f>
        <v/>
      </c>
    </row>
  </sheetData>
  <conditionalFormatting sqref="C2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Minhas Dívidas</t>
        </is>
      </c>
    </row>
    <row r="2">
      <c r="A2" s="2" t="inlineStr">
        <is>
          <t>Liste todas. Juros ao mês: ex. 12% no rotativo do cartão = 12</t>
        </is>
      </c>
    </row>
    <row r="4" ht="36" customHeight="1">
      <c r="A4" s="4" t="inlineStr">
        <is>
          <t>Credor</t>
        </is>
      </c>
      <c r="B4" s="4" t="inlineStr">
        <is>
          <t>Tipo</t>
        </is>
      </c>
      <c r="C4" s="4" t="inlineStr">
        <is>
          <t>Saldo devedor hoje (R$)</t>
        </is>
      </c>
      <c r="D4" s="4" t="inlineStr">
        <is>
          <t>Juros ao mês (%)</t>
        </is>
      </c>
      <c r="E4" s="4" t="inlineStr">
        <is>
          <t>Atrasada? (Sim/Não)</t>
        </is>
      </c>
      <c r="F4" s="4" t="inlineStr">
        <is>
          <t>Parcela mínima (R$)</t>
        </is>
      </c>
      <c r="G4" s="4" t="inlineStr">
        <is>
          <t>Ordem Avalanche
(juros maiores 1º)</t>
        </is>
      </c>
      <c r="H4" s="4" t="inlineStr">
        <is>
          <t>Ordem Bola de Neve
(menor saldo 1º)</t>
        </is>
      </c>
    </row>
    <row r="5">
      <c r="A5" s="11" t="inlineStr">
        <is>
          <t>Exemplo: Banco X</t>
        </is>
      </c>
      <c r="B5" s="11" t="inlineStr">
        <is>
          <t>Cartão - rotativo</t>
        </is>
      </c>
      <c r="C5" s="6" t="n">
        <v>1500</v>
      </c>
      <c r="D5" s="12" t="n">
        <v>12</v>
      </c>
      <c r="E5" s="11" t="inlineStr">
        <is>
          <t>Não</t>
        </is>
      </c>
      <c r="F5" s="6" t="n">
        <v>225</v>
      </c>
      <c r="G5" s="13">
        <f>IF(C5&gt;0,COUNTIFS($C$5:$C$16,"&gt;0",$D$5:$D$16,"&gt;"&amp;D5)+COUNTIFS($C$5:C5,"&gt;0",$D$5:D5,D5),"")</f>
        <v/>
      </c>
      <c r="H5" s="13">
        <f>IF(C5&gt;0,COUNTIFS($C$5:$C$16,"&gt;0",$C$5:$C$16,"&lt;"&amp;C5)+COUNTIFS($C$5:C5,C5),"")</f>
        <v/>
      </c>
    </row>
    <row r="6">
      <c r="A6" s="11" t="n"/>
      <c r="B6" s="11" t="n"/>
      <c r="C6" s="6" t="n"/>
      <c r="D6" s="12" t="n"/>
      <c r="E6" s="11" t="n"/>
      <c r="F6" s="6" t="n"/>
      <c r="G6" s="13">
        <f>IF(C6&gt;0,COUNTIFS($C$5:$C$16,"&gt;0",$D$5:$D$16,"&gt;"&amp;D6)+COUNTIFS($C$5:C6,"&gt;0",$D$5:D6,D6),"")</f>
        <v/>
      </c>
      <c r="H6" s="13">
        <f>IF(C6&gt;0,COUNTIFS($C$5:$C$16,"&gt;0",$C$5:$C$16,"&lt;"&amp;C6)+COUNTIFS($C$5:C6,C6),"")</f>
        <v/>
      </c>
    </row>
    <row r="7">
      <c r="A7" s="11" t="n"/>
      <c r="B7" s="11" t="n"/>
      <c r="C7" s="6" t="n"/>
      <c r="D7" s="12" t="n"/>
      <c r="E7" s="11" t="n"/>
      <c r="F7" s="6" t="n"/>
      <c r="G7" s="13">
        <f>IF(C7&gt;0,COUNTIFS($C$5:$C$16,"&gt;0",$D$5:$D$16,"&gt;"&amp;D7)+COUNTIFS($C$5:C7,"&gt;0",$D$5:D7,D7),"")</f>
        <v/>
      </c>
      <c r="H7" s="13">
        <f>IF(C7&gt;0,COUNTIFS($C$5:$C$16,"&gt;0",$C$5:$C$16,"&lt;"&amp;C7)+COUNTIFS($C$5:C7,C7),"")</f>
        <v/>
      </c>
    </row>
    <row r="8">
      <c r="A8" s="11" t="n"/>
      <c r="B8" s="11" t="n"/>
      <c r="C8" s="6" t="n"/>
      <c r="D8" s="12" t="n"/>
      <c r="E8" s="11" t="n"/>
      <c r="F8" s="6" t="n"/>
      <c r="G8" s="13">
        <f>IF(C8&gt;0,COUNTIFS($C$5:$C$16,"&gt;0",$D$5:$D$16,"&gt;"&amp;D8)+COUNTIFS($C$5:C8,"&gt;0",$D$5:D8,D8),"")</f>
        <v/>
      </c>
      <c r="H8" s="13">
        <f>IF(C8&gt;0,COUNTIFS($C$5:$C$16,"&gt;0",$C$5:$C$16,"&lt;"&amp;C8)+COUNTIFS($C$5:C8,C8),"")</f>
        <v/>
      </c>
    </row>
    <row r="9">
      <c r="A9" s="11" t="n"/>
      <c r="B9" s="11" t="n"/>
      <c r="C9" s="6" t="n"/>
      <c r="D9" s="12" t="n"/>
      <c r="E9" s="11" t="n"/>
      <c r="F9" s="6" t="n"/>
      <c r="G9" s="13">
        <f>IF(C9&gt;0,COUNTIFS($C$5:$C$16,"&gt;0",$D$5:$D$16,"&gt;"&amp;D9)+COUNTIFS($C$5:C9,"&gt;0",$D$5:D9,D9),"")</f>
        <v/>
      </c>
      <c r="H9" s="13">
        <f>IF(C9&gt;0,COUNTIFS($C$5:$C$16,"&gt;0",$C$5:$C$16,"&lt;"&amp;C9)+COUNTIFS($C$5:C9,C9),"")</f>
        <v/>
      </c>
    </row>
    <row r="10">
      <c r="A10" s="11" t="n"/>
      <c r="B10" s="11" t="n"/>
      <c r="C10" s="6" t="n"/>
      <c r="D10" s="12" t="n"/>
      <c r="E10" s="11" t="n"/>
      <c r="F10" s="6" t="n"/>
      <c r="G10" s="13">
        <f>IF(C10&gt;0,COUNTIFS($C$5:$C$16,"&gt;0",$D$5:$D$16,"&gt;"&amp;D10)+COUNTIFS($C$5:C10,"&gt;0",$D$5:D10,D10),"")</f>
        <v/>
      </c>
      <c r="H10" s="13">
        <f>IF(C10&gt;0,COUNTIFS($C$5:$C$16,"&gt;0",$C$5:$C$16,"&lt;"&amp;C10)+COUNTIFS($C$5:C10,C10),"")</f>
        <v/>
      </c>
    </row>
    <row r="11">
      <c r="A11" s="11" t="n"/>
      <c r="B11" s="11" t="n"/>
      <c r="C11" s="6" t="n"/>
      <c r="D11" s="12" t="n"/>
      <c r="E11" s="11" t="n"/>
      <c r="F11" s="6" t="n"/>
      <c r="G11" s="13">
        <f>IF(C11&gt;0,COUNTIFS($C$5:$C$16,"&gt;0",$D$5:$D$16,"&gt;"&amp;D11)+COUNTIFS($C$5:C11,"&gt;0",$D$5:D11,D11),"")</f>
        <v/>
      </c>
      <c r="H11" s="13">
        <f>IF(C11&gt;0,COUNTIFS($C$5:$C$16,"&gt;0",$C$5:$C$16,"&lt;"&amp;C11)+COUNTIFS($C$5:C11,C11),"")</f>
        <v/>
      </c>
    </row>
    <row r="12">
      <c r="A12" s="11" t="n"/>
      <c r="B12" s="11" t="n"/>
      <c r="C12" s="6" t="n"/>
      <c r="D12" s="12" t="n"/>
      <c r="E12" s="11" t="n"/>
      <c r="F12" s="6" t="n"/>
      <c r="G12" s="13">
        <f>IF(C12&gt;0,COUNTIFS($C$5:$C$16,"&gt;0",$D$5:$D$16,"&gt;"&amp;D12)+COUNTIFS($C$5:C12,"&gt;0",$D$5:D12,D12),"")</f>
        <v/>
      </c>
      <c r="H12" s="13">
        <f>IF(C12&gt;0,COUNTIFS($C$5:$C$16,"&gt;0",$C$5:$C$16,"&lt;"&amp;C12)+COUNTIFS($C$5:C12,C12),"")</f>
        <v/>
      </c>
    </row>
    <row r="13">
      <c r="A13" s="11" t="n"/>
      <c r="B13" s="11" t="n"/>
      <c r="C13" s="6" t="n"/>
      <c r="D13" s="12" t="n"/>
      <c r="E13" s="11" t="n"/>
      <c r="F13" s="6" t="n"/>
      <c r="G13" s="13">
        <f>IF(C13&gt;0,COUNTIFS($C$5:$C$16,"&gt;0",$D$5:$D$16,"&gt;"&amp;D13)+COUNTIFS($C$5:C13,"&gt;0",$D$5:D13,D13),"")</f>
        <v/>
      </c>
      <c r="H13" s="13">
        <f>IF(C13&gt;0,COUNTIFS($C$5:$C$16,"&gt;0",$C$5:$C$16,"&lt;"&amp;C13)+COUNTIFS($C$5:C13,C13),"")</f>
        <v/>
      </c>
    </row>
    <row r="14">
      <c r="A14" s="11" t="n"/>
      <c r="B14" s="11" t="n"/>
      <c r="C14" s="6" t="n"/>
      <c r="D14" s="12" t="n"/>
      <c r="E14" s="11" t="n"/>
      <c r="F14" s="6" t="n"/>
      <c r="G14" s="13">
        <f>IF(C14&gt;0,COUNTIFS($C$5:$C$16,"&gt;0",$D$5:$D$16,"&gt;"&amp;D14)+COUNTIFS($C$5:C14,"&gt;0",$D$5:D14,D14),"")</f>
        <v/>
      </c>
      <c r="H14" s="13">
        <f>IF(C14&gt;0,COUNTIFS($C$5:$C$16,"&gt;0",$C$5:$C$16,"&lt;"&amp;C14)+COUNTIFS($C$5:C14,C14),"")</f>
        <v/>
      </c>
    </row>
    <row r="15">
      <c r="A15" s="11" t="n"/>
      <c r="B15" s="11" t="n"/>
      <c r="C15" s="6" t="n"/>
      <c r="D15" s="12" t="n"/>
      <c r="E15" s="11" t="n"/>
      <c r="F15" s="6" t="n"/>
      <c r="G15" s="13">
        <f>IF(C15&gt;0,COUNTIFS($C$5:$C$16,"&gt;0",$D$5:$D$16,"&gt;"&amp;D15)+COUNTIFS($C$5:C15,"&gt;0",$D$5:D15,D15),"")</f>
        <v/>
      </c>
      <c r="H15" s="13">
        <f>IF(C15&gt;0,COUNTIFS($C$5:$C$16,"&gt;0",$C$5:$C$16,"&lt;"&amp;C15)+COUNTIFS($C$5:C15,C15),"")</f>
        <v/>
      </c>
    </row>
    <row r="16">
      <c r="A16" s="11" t="n"/>
      <c r="B16" s="11" t="n"/>
      <c r="C16" s="6" t="n"/>
      <c r="D16" s="12" t="n"/>
      <c r="E16" s="11" t="n"/>
      <c r="F16" s="6" t="n"/>
      <c r="G16" s="13">
        <f>IF(C16&gt;0,COUNTIFS($C$5:$C$16,"&gt;0",$D$5:$D$16,"&gt;"&amp;D16)+COUNTIFS($C$5:C16,"&gt;0",$D$5:D16,D16),"")</f>
        <v/>
      </c>
      <c r="H16" s="13">
        <f>IF(C16&gt;0,COUNTIFS($C$5:$C$16,"&gt;0",$C$5:$C$16,"&lt;"&amp;C16)+COUNTIFS($C$5:C16,C16),"")</f>
        <v/>
      </c>
    </row>
    <row r="18">
      <c r="B18" s="8" t="inlineStr">
        <is>
          <t>TOTAIS</t>
        </is>
      </c>
      <c r="C18" s="9">
        <f>SUM(C5:C16)</f>
        <v/>
      </c>
      <c r="F18" s="9">
        <f>SUM(F5:F16)</f>
        <v/>
      </c>
    </row>
    <row r="19">
      <c r="B19" s="8" t="inlineStr">
        <is>
          <t>Maior juros ao mês</t>
        </is>
      </c>
      <c r="D19" s="14">
        <f>MAX(D5:D16)</f>
        <v/>
      </c>
    </row>
    <row r="21">
      <c r="A21" s="2" t="inlineStr">
        <is>
          <t>Apague a linha de exemplo quando preencher as suas dívidas.</t>
        </is>
      </c>
    </row>
  </sheetData>
  <dataValidations count="2">
    <dataValidation sqref="B5:B16" showDropDown="0" showInputMessage="0" showErrorMessage="0" allowBlank="1" type="list">
      <formula1>"Cartão - rotativo,Cartão - parcelamento,Cheque especial,Empréstimo pessoal,Consignado,Financiamento,Loja/crediário,Conta atrasada,Outro"</formula1>
    </dataValidation>
    <dataValidation sqref="E5:E16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8" customWidth="1" min="2" max="2"/>
    <col width="30" customWidth="1" min="3" max="3"/>
  </cols>
  <sheetData>
    <row r="1">
      <c r="A1" s="1" t="inlineStr">
        <is>
          <t>Plano de Quitação</t>
        </is>
      </c>
    </row>
    <row r="2">
      <c r="A2" s="2" t="inlineStr">
        <is>
          <t>Resumo automático a partir das outras abas.</t>
        </is>
      </c>
    </row>
    <row r="4">
      <c r="B4" s="8" t="inlineStr">
        <is>
          <t>Sobra do mês (aba Orçamento)</t>
        </is>
      </c>
      <c r="C4" s="7">
        <f>'Orçamento do Mês'!C29</f>
        <v/>
      </c>
    </row>
    <row r="5">
      <c r="B5" s="8" t="inlineStr">
        <is>
          <t>Dinheiro extra que vou colocar nas dívidas por mês</t>
        </is>
      </c>
      <c r="C5" s="6" t="n"/>
    </row>
    <row r="6">
      <c r="B6" s="8" t="inlineStr">
        <is>
          <t>Total que devo hoje</t>
        </is>
      </c>
      <c r="C6" s="7">
        <f>'Minhas Dívidas'!C18</f>
        <v/>
      </c>
    </row>
    <row r="7">
      <c r="B7" s="8" t="inlineStr">
        <is>
          <t>Soma das parcelas mínimas</t>
        </is>
      </c>
      <c r="C7" s="7">
        <f>'Minhas Dívidas'!F18</f>
        <v/>
      </c>
    </row>
    <row r="9">
      <c r="B9" s="8" t="inlineStr">
        <is>
          <t>AVALANCHE: atacar primeiro</t>
        </is>
      </c>
      <c r="C9" s="14">
        <f>IFERROR(INDEX('Minhas Dívidas'!$A$5:$A$16,MATCH(1,'Minhas Dívidas'!$G$5:$G$16,0)),"—")</f>
        <v/>
      </c>
    </row>
    <row r="10">
      <c r="B10" s="8" t="inlineStr">
        <is>
          <t>BOLA DE NEVE: atacar primeiro</t>
        </is>
      </c>
      <c r="C10" s="14">
        <f>IFERROR(INDEX('Minhas Dívidas'!$A$5:$A$16,MATCH(1,'Minhas Dívidas'!$H$5:$H$16,0)),"—")</f>
        <v/>
      </c>
    </row>
    <row r="12">
      <c r="B12" s="8" t="inlineStr">
        <is>
          <t>Meses estimados para quitar tudo (sem contar juros)</t>
        </is>
      </c>
      <c r="C12" s="15">
        <f>IF((C7+C5)&lt;=0,"Sem sobra: revise o orçamento",ROUNDUP(C6/(C7+C5),0))</f>
        <v/>
      </c>
    </row>
    <row r="15">
      <c r="B15" s="2" t="inlineStr">
        <is>
          <t>Atenção: com juros, o prazo real é maior. Use o Prompt 6 do guia para a IA calcular o plano mês a mês.</t>
        </is>
      </c>
    </row>
    <row r="16">
      <c r="B16" s="2" t="inlineStr">
        <is>
          <t>Se a sobra do mês estiver negativa, o primeiro passo é cortar gastos (Prompt 2) ou negociar parcelas menores (Prompt 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2026-09-30T19:45:55Z</dcterms:created>
  <dcterms:modified xsi:type="dcterms:W3CDTF">2026-09-30T19:45:55Z</dcterms:modified>
</cp:coreProperties>
</file>