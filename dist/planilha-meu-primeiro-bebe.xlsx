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Enxoval" sheetId="2" state="visible" r:id="rId2"/>
    <sheet name="Fraldas" sheetId="3" state="visible" r:id="rId3"/>
    <sheet name="Gastos da gestação" sheetId="4" state="visible" r:id="rId4"/>
    <sheet name="Chá de beb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7A4B3A"/>
      <sz val="16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FDE9DF"/>
      </patternFill>
    </fill>
    <fill>
      <patternFill patternType="solid">
        <fgColor rgb="00FDF4D8"/>
      </patternFill>
    </fill>
    <fill>
      <patternFill patternType="solid">
        <fgColor rgb="00E6F2E7"/>
      </patternFill>
    </fill>
    <fill>
      <patternFill patternType="solid">
        <fgColor rgb="00EEE8FA"/>
      </patternFill>
    </fill>
  </fills>
  <borders count="2">
    <border>
      <left/>
      <right/>
      <top/>
      <bottom/>
      <diagonal/>
    </border>
    <border>
      <left style="thin">
        <color rgb="00E0D6CE"/>
      </left>
      <right style="thin">
        <color rgb="00E0D6CE"/>
      </right>
      <top style="thin">
        <color rgb="00E0D6CE"/>
      </top>
      <bottom style="thin">
        <color rgb="00E0D6C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164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3" borderId="1" pivotButton="0" quotePrefix="0" xfId="0"/>
    <xf numFmtId="164" fontId="3" fillId="3" borderId="1" pivotButton="0" quotePrefix="0" xfId="0"/>
    <xf numFmtId="0" fontId="2" fillId="0" borderId="0" pivotButton="0" quotePrefix="0" xfId="0"/>
    <xf numFmtId="0" fontId="2" fillId="5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2" borderId="1" applyAlignment="1" pivotButton="0" quotePrefix="0" xfId="0">
      <alignment vertical="center" wrapText="1"/>
    </xf>
    <xf numFmtId="164" fontId="0" fillId="3" borderId="1" pivotButton="0" quotePrefix="0" xfId="0"/>
    <xf numFmtId="0" fontId="0" fillId="3" borderId="1" pivotButton="0" quotePrefix="0" xfId="0"/>
    <xf numFmtId="164" fontId="0" fillId="0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2">
    <dxf>
      <font>
        <b val="1"/>
        <color rgb="00B03A2E"/>
      </font>
      <fill>
        <patternFill patternType="solid">
          <fgColor rgb="00FBE3E0"/>
        </patternFill>
      </fill>
    </dxf>
    <dxf>
      <fill>
        <patternFill patternType="solid">
          <fgColor rgb="00E6F2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58" customWidth="1" min="3" max="3"/>
  </cols>
  <sheetData>
    <row r="1">
      <c r="A1" s="1" t="inlineStr">
        <is>
          <t>💰 Resumo financeiro — Meu Primeiro Bebê</t>
        </is>
      </c>
    </row>
    <row r="2">
      <c r="A2" t="inlineStr">
        <is>
          <t>Digite o orçamento disponível na célula amarela. O restante é automático.</t>
        </is>
      </c>
    </row>
    <row r="4">
      <c r="A4" s="2" t="inlineStr">
        <is>
          <t>TOTAL DO ENXOVAL</t>
        </is>
      </c>
      <c r="B4" s="3">
        <f>SUM(Enxoval!F5:F70)</f>
        <v/>
      </c>
    </row>
    <row r="5">
      <c r="A5" s="4" t="inlineStr">
        <is>
          <t>JÁ GASTAMOS</t>
        </is>
      </c>
      <c r="B5" s="3">
        <f>SUMIF(Enxoval!G5:G70,"Sim",Enxoval!F5:F70)</f>
        <v/>
      </c>
    </row>
    <row r="6">
      <c r="A6" s="5" t="inlineStr">
        <is>
          <t>AINDA FALTA</t>
        </is>
      </c>
      <c r="B6" s="3">
        <f>B4-B5</f>
        <v/>
      </c>
    </row>
    <row r="7">
      <c r="A7" s="6" t="inlineStr">
        <is>
          <t>ORÇAMENTO DISPONÍVEL</t>
        </is>
      </c>
      <c r="B7" s="7" t="n"/>
    </row>
    <row r="8">
      <c r="A8" s="2" t="inlineStr">
        <is>
          <t>DIFERENÇA (orçamento − total)</t>
        </is>
      </c>
      <c r="B8" s="3">
        <f>B7-B4</f>
        <v/>
      </c>
      <c r="C8">
        <f>IF(B7="","← informe o orçamento",IF(B8&lt;0,"Acima do orçamento: revise itens Pode esperar/Pense antes","Dentro do orçamento 🎉"))</f>
        <v/>
      </c>
    </row>
    <row r="11">
      <c r="A11" s="8" t="inlineStr">
        <is>
          <t>Total por prioridade</t>
        </is>
      </c>
    </row>
    <row r="12">
      <c r="A12" s="9" t="inlineStr">
        <is>
          <t>Prioridade</t>
        </is>
      </c>
      <c r="B12" s="9" t="inlineStr">
        <is>
          <t>Total</t>
        </is>
      </c>
      <c r="C12" s="9" t="inlineStr">
        <is>
          <t>Já comprado</t>
        </is>
      </c>
    </row>
    <row r="13">
      <c r="A13" s="10" t="inlineStr">
        <is>
          <t>Essencial</t>
        </is>
      </c>
      <c r="B13" s="11">
        <f>SUMIF(Enxoval!C5:C70,A13,Enxoval!F5:F70)</f>
        <v/>
      </c>
      <c r="C13" s="11">
        <f>SUMIFS(Enxoval!F5:F70,Enxoval!C5:C70,A13,Enxoval!G5:G70,"Sim")</f>
        <v/>
      </c>
    </row>
    <row r="14">
      <c r="A14" s="10" t="inlineStr">
        <is>
          <t>Importante</t>
        </is>
      </c>
      <c r="B14" s="11">
        <f>SUMIF(Enxoval!C5:C70,A14,Enxoval!F5:F70)</f>
        <v/>
      </c>
      <c r="C14" s="11">
        <f>SUMIFS(Enxoval!F5:F70,Enxoval!C5:C70,A14,Enxoval!G5:G70,"Sim")</f>
        <v/>
      </c>
    </row>
    <row r="15">
      <c r="A15" s="10" t="inlineStr">
        <is>
          <t>Pode esperar</t>
        </is>
      </c>
      <c r="B15" s="11">
        <f>SUMIF(Enxoval!C5:C70,A15,Enxoval!F5:F70)</f>
        <v/>
      </c>
      <c r="C15" s="11">
        <f>SUMIFS(Enxoval!F5:F70,Enxoval!C5:C70,A15,Enxoval!G5:G70,"Sim")</f>
        <v/>
      </c>
    </row>
    <row r="16">
      <c r="A16" s="10" t="inlineStr">
        <is>
          <t>Pense antes</t>
        </is>
      </c>
      <c r="B16" s="11">
        <f>SUMIF(Enxoval!C5:C70,A16,Enxoval!F5:F70)</f>
        <v/>
      </c>
      <c r="C16" s="11">
        <f>SUMIFS(Enxoval!F5:F70,Enxoval!C5:C70,A16,Enxoval!G5:G70,"Sim")</f>
        <v/>
      </c>
    </row>
    <row r="19">
      <c r="A19" s="8" t="inlineStr">
        <is>
          <t>Itens comprados</t>
        </is>
      </c>
      <c r="B19">
        <f>COUNTIF(Enxoval!G5:G70,"Sim")&amp;" de "&amp;COUNTA(Enxoval!B5:B70)</f>
        <v/>
      </c>
    </row>
  </sheetData>
  <conditionalFormatting sqref="B8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2" customWidth="1" min="4" max="4"/>
    <col width="15" customWidth="1" min="5" max="5"/>
    <col width="15" customWidth="1" min="6" max="6"/>
    <col width="12" customWidth="1" min="7" max="7"/>
    <col width="30" customWidth="1" min="8" max="8"/>
  </cols>
  <sheetData>
    <row r="1">
      <c r="A1" s="1" t="inlineStr">
        <is>
          <t>🛒 Planilha do enxoval</t>
        </is>
      </c>
    </row>
    <row r="2">
      <c r="A2" t="inlineStr">
        <is>
          <t>Preencha apenas as colunas brancas: quantidade, valor unitário e 'Comprado?'. O total é calculado sozinho.</t>
        </is>
      </c>
    </row>
    <row r="4">
      <c r="A4" s="12" t="inlineStr">
        <is>
          <t>Categoria</t>
        </is>
      </c>
      <c r="B4" s="12" t="inlineStr">
        <is>
          <t>Produto</t>
        </is>
      </c>
      <c r="C4" s="12" t="inlineStr">
        <is>
          <t>Prioridade</t>
        </is>
      </c>
      <c r="D4" s="12" t="inlineStr">
        <is>
          <t>Quantidade</t>
        </is>
      </c>
      <c r="E4" s="12" t="inlineStr">
        <is>
          <t>Valor unitário</t>
        </is>
      </c>
      <c r="F4" s="12" t="inlineStr">
        <is>
          <t>Total</t>
        </is>
      </c>
      <c r="G4" s="12" t="inlineStr">
        <is>
          <t>Comprado?</t>
        </is>
      </c>
      <c r="H4" s="12" t="inlineStr">
        <is>
          <t>Onde / observação</t>
        </is>
      </c>
    </row>
    <row r="5">
      <c r="A5" s="10" t="inlineStr">
        <is>
          <t>Roupas</t>
        </is>
      </c>
      <c r="B5" s="10" t="inlineStr">
        <is>
          <t>Body manga curta (RN + P)</t>
        </is>
      </c>
      <c r="C5" s="10" t="inlineStr">
        <is>
          <t>Essencial</t>
        </is>
      </c>
      <c r="D5" s="10" t="n">
        <v>9</v>
      </c>
      <c r="E5" s="11" t="n"/>
      <c r="F5" s="13">
        <f>IF(OR(D5="",E5=""),0,D5*E5)</f>
        <v/>
      </c>
      <c r="G5" s="10" t="inlineStr">
        <is>
          <t>Não</t>
        </is>
      </c>
      <c r="H5" s="10" t="n"/>
    </row>
    <row r="6">
      <c r="A6" s="10" t="inlineStr">
        <is>
          <t>Roupas</t>
        </is>
      </c>
      <c r="B6" s="10" t="inlineStr">
        <is>
          <t>Body manga longa (RN + P)</t>
        </is>
      </c>
      <c r="C6" s="10" t="inlineStr">
        <is>
          <t>Essencial</t>
        </is>
      </c>
      <c r="D6" s="10" t="n">
        <v>9</v>
      </c>
      <c r="E6" s="11" t="n"/>
      <c r="F6" s="13">
        <f>IF(OR(D6="",E6=""),0,D6*E6)</f>
        <v/>
      </c>
      <c r="G6" s="10" t="inlineStr">
        <is>
          <t>Não</t>
        </is>
      </c>
      <c r="H6" s="10" t="n"/>
    </row>
    <row r="7">
      <c r="A7" s="10" t="inlineStr">
        <is>
          <t>Roupas</t>
        </is>
      </c>
      <c r="B7" s="10" t="inlineStr">
        <is>
          <t>Macacão</t>
        </is>
      </c>
      <c r="C7" s="10" t="inlineStr">
        <is>
          <t>Essencial</t>
        </is>
      </c>
      <c r="D7" s="10" t="n">
        <v>6</v>
      </c>
      <c r="E7" s="11" t="n"/>
      <c r="F7" s="13">
        <f>IF(OR(D7="",E7=""),0,D7*E7)</f>
        <v/>
      </c>
      <c r="G7" s="10" t="inlineStr">
        <is>
          <t>Não</t>
        </is>
      </c>
      <c r="H7" s="10" t="n"/>
    </row>
    <row r="8">
      <c r="A8" s="10" t="inlineStr">
        <is>
          <t>Roupas</t>
        </is>
      </c>
      <c r="B8" s="10" t="inlineStr">
        <is>
          <t>Calça</t>
        </is>
      </c>
      <c r="C8" s="10" t="inlineStr">
        <is>
          <t>Essencial</t>
        </is>
      </c>
      <c r="D8" s="10" t="n">
        <v>6</v>
      </c>
      <c r="E8" s="11" t="n"/>
      <c r="F8" s="13">
        <f>IF(OR(D8="",E8=""),0,D8*E8)</f>
        <v/>
      </c>
      <c r="G8" s="10" t="inlineStr">
        <is>
          <t>Não</t>
        </is>
      </c>
      <c r="H8" s="10" t="n"/>
    </row>
    <row r="9">
      <c r="A9" s="10" t="inlineStr">
        <is>
          <t>Roupas</t>
        </is>
      </c>
      <c r="B9" s="10" t="inlineStr">
        <is>
          <t>Meias (pares)</t>
        </is>
      </c>
      <c r="C9" s="10" t="inlineStr">
        <is>
          <t>Essencial</t>
        </is>
      </c>
      <c r="D9" s="10" t="n">
        <v>7</v>
      </c>
      <c r="E9" s="11" t="n"/>
      <c r="F9" s="13">
        <f>IF(OR(D9="",E9=""),0,D9*E9)</f>
        <v/>
      </c>
      <c r="G9" s="10" t="inlineStr">
        <is>
          <t>Não</t>
        </is>
      </c>
      <c r="H9" s="10" t="n"/>
    </row>
    <row r="10">
      <c r="A10" s="10" t="inlineStr">
        <is>
          <t>Roupas</t>
        </is>
      </c>
      <c r="B10" s="10" t="inlineStr">
        <is>
          <t>Touca</t>
        </is>
      </c>
      <c r="C10" s="10" t="inlineStr">
        <is>
          <t>Importante</t>
        </is>
      </c>
      <c r="D10" s="10" t="n">
        <v>2</v>
      </c>
      <c r="E10" s="11" t="n"/>
      <c r="F10" s="13">
        <f>IF(OR(D10="",E10=""),0,D10*E10)</f>
        <v/>
      </c>
      <c r="G10" s="10" t="inlineStr">
        <is>
          <t>Não</t>
        </is>
      </c>
      <c r="H10" s="10" t="n"/>
    </row>
    <row r="11">
      <c r="A11" s="10" t="inlineStr">
        <is>
          <t>Roupas</t>
        </is>
      </c>
      <c r="B11" s="10" t="inlineStr">
        <is>
          <t>Manta / cueiro</t>
        </is>
      </c>
      <c r="C11" s="10" t="inlineStr">
        <is>
          <t>Essencial</t>
        </is>
      </c>
      <c r="D11" s="10" t="n">
        <v>3</v>
      </c>
      <c r="E11" s="11" t="n"/>
      <c r="F11" s="13">
        <f>IF(OR(D11="",E11=""),0,D11*E11)</f>
        <v/>
      </c>
      <c r="G11" s="10" t="inlineStr">
        <is>
          <t>Não</t>
        </is>
      </c>
      <c r="H11" s="10" t="n"/>
    </row>
    <row r="12">
      <c r="A12" s="10" t="inlineStr">
        <is>
          <t>Roupas</t>
        </is>
      </c>
      <c r="B12" s="10" t="inlineStr">
        <is>
          <t>Casaquinho</t>
        </is>
      </c>
      <c r="C12" s="10" t="inlineStr">
        <is>
          <t>Importante</t>
        </is>
      </c>
      <c r="D12" s="10" t="n">
        <v>3</v>
      </c>
      <c r="E12" s="11" t="n"/>
      <c r="F12" s="13">
        <f>IF(OR(D12="",E12=""),0,D12*E12)</f>
        <v/>
      </c>
      <c r="G12" s="10" t="inlineStr">
        <is>
          <t>Não</t>
        </is>
      </c>
      <c r="H12" s="10" t="n"/>
    </row>
    <row r="13">
      <c r="A13" s="10" t="inlineStr">
        <is>
          <t>Roupas</t>
        </is>
      </c>
      <c r="B13" s="10" t="inlineStr">
        <is>
          <t>Fralda de pano (boca)</t>
        </is>
      </c>
      <c r="C13" s="10" t="inlineStr">
        <is>
          <t>Essencial</t>
        </is>
      </c>
      <c r="D13" s="10" t="n">
        <v>10</v>
      </c>
      <c r="E13" s="11" t="n"/>
      <c r="F13" s="13">
        <f>IF(OR(D13="",E13=""),0,D13*E13)</f>
        <v/>
      </c>
      <c r="G13" s="10" t="inlineStr">
        <is>
          <t>Não</t>
        </is>
      </c>
      <c r="H13" s="10" t="n"/>
    </row>
    <row r="14">
      <c r="A14" s="10" t="inlineStr">
        <is>
          <t>Higiene</t>
        </is>
      </c>
      <c r="B14" s="10" t="inlineStr">
        <is>
          <t>Toalha com capuz</t>
        </is>
      </c>
      <c r="C14" s="10" t="inlineStr">
        <is>
          <t>Essencial</t>
        </is>
      </c>
      <c r="D14" s="10" t="n">
        <v>3</v>
      </c>
      <c r="E14" s="11" t="n"/>
      <c r="F14" s="13">
        <f>IF(OR(D14="",E14=""),0,D14*E14)</f>
        <v/>
      </c>
      <c r="G14" s="10" t="inlineStr">
        <is>
          <t>Não</t>
        </is>
      </c>
      <c r="H14" s="10" t="n"/>
    </row>
    <row r="15">
      <c r="A15" s="10" t="inlineStr">
        <is>
          <t>Higiene</t>
        </is>
      </c>
      <c r="B15" s="10" t="inlineStr">
        <is>
          <t>Trocador</t>
        </is>
      </c>
      <c r="C15" s="10" t="inlineStr">
        <is>
          <t>Essencial</t>
        </is>
      </c>
      <c r="D15" s="10" t="n">
        <v>1</v>
      </c>
      <c r="E15" s="11" t="n"/>
      <c r="F15" s="13">
        <f>IF(OR(D15="",E15=""),0,D15*E15)</f>
        <v/>
      </c>
      <c r="G15" s="10" t="inlineStr">
        <is>
          <t>Não</t>
        </is>
      </c>
      <c r="H15" s="10" t="n"/>
    </row>
    <row r="16">
      <c r="A16" s="10" t="inlineStr">
        <is>
          <t>Higiene</t>
        </is>
      </c>
      <c r="B16" s="10" t="inlineStr">
        <is>
          <t>Termômetro digital</t>
        </is>
      </c>
      <c r="C16" s="10" t="inlineStr">
        <is>
          <t>Essencial</t>
        </is>
      </c>
      <c r="D16" s="10" t="n">
        <v>1</v>
      </c>
      <c r="E16" s="11" t="n"/>
      <c r="F16" s="13">
        <f>IF(OR(D16="",E16=""),0,D16*E16)</f>
        <v/>
      </c>
      <c r="G16" s="10" t="inlineStr">
        <is>
          <t>Não</t>
        </is>
      </c>
      <c r="H16" s="10" t="n"/>
    </row>
    <row r="17">
      <c r="A17" s="10" t="inlineStr">
        <is>
          <t>Higiene</t>
        </is>
      </c>
      <c r="B17" s="10" t="inlineStr">
        <is>
          <t>Sabonete líquido neutro (indicado pelo pediatra)</t>
        </is>
      </c>
      <c r="C17" s="10" t="inlineStr">
        <is>
          <t>Essencial</t>
        </is>
      </c>
      <c r="D17" s="10" t="n">
        <v>1</v>
      </c>
      <c r="E17" s="11" t="n"/>
      <c r="F17" s="13">
        <f>IF(OR(D17="",E17=""),0,D17*E17)</f>
        <v/>
      </c>
      <c r="G17" s="10" t="inlineStr">
        <is>
          <t>Não</t>
        </is>
      </c>
      <c r="H17" s="10" t="n"/>
    </row>
    <row r="18">
      <c r="A18" s="10" t="inlineStr">
        <is>
          <t>Higiene</t>
        </is>
      </c>
      <c r="B18" s="10" t="inlineStr">
        <is>
          <t>Algodão / gaze</t>
        </is>
      </c>
      <c r="C18" s="10" t="inlineStr">
        <is>
          <t>Essencial</t>
        </is>
      </c>
      <c r="D18" s="10" t="n">
        <v>1</v>
      </c>
      <c r="E18" s="11" t="n"/>
      <c r="F18" s="13">
        <f>IF(OR(D18="",E18=""),0,D18*E18)</f>
        <v/>
      </c>
      <c r="G18" s="10" t="inlineStr">
        <is>
          <t>Não</t>
        </is>
      </c>
      <c r="H18" s="10" t="n"/>
    </row>
    <row r="19">
      <c r="A19" s="10" t="inlineStr">
        <is>
          <t>Higiene</t>
        </is>
      </c>
      <c r="B19" s="10" t="inlineStr">
        <is>
          <t>Lenços umedecidos sem perfume</t>
        </is>
      </c>
      <c r="C19" s="10" t="inlineStr">
        <is>
          <t>Importante</t>
        </is>
      </c>
      <c r="D19" s="10" t="n">
        <v>4</v>
      </c>
      <c r="E19" s="11" t="n"/>
      <c r="F19" s="13">
        <f>IF(OR(D19="",E19=""),0,D19*E19)</f>
        <v/>
      </c>
      <c r="G19" s="10" t="inlineStr">
        <is>
          <t>Não</t>
        </is>
      </c>
      <c r="H19" s="10" t="n"/>
    </row>
    <row r="20">
      <c r="A20" s="10" t="inlineStr">
        <is>
          <t>Higiene</t>
        </is>
      </c>
      <c r="B20" s="10" t="inlineStr">
        <is>
          <t>Banheira</t>
        </is>
      </c>
      <c r="C20" s="10" t="inlineStr">
        <is>
          <t>Importante</t>
        </is>
      </c>
      <c r="D20" s="10" t="n">
        <v>1</v>
      </c>
      <c r="E20" s="11" t="n"/>
      <c r="F20" s="13">
        <f>IF(OR(D20="",E20=""),0,D20*E20)</f>
        <v/>
      </c>
      <c r="G20" s="10" t="inlineStr">
        <is>
          <t>Não</t>
        </is>
      </c>
      <c r="H20" s="10" t="n"/>
    </row>
    <row r="21">
      <c r="A21" s="10" t="inlineStr">
        <is>
          <t>Higiene</t>
        </is>
      </c>
      <c r="B21" s="10" t="inlineStr">
        <is>
          <t>Cortador de unha infantil</t>
        </is>
      </c>
      <c r="C21" s="10" t="inlineStr">
        <is>
          <t>Importante</t>
        </is>
      </c>
      <c r="D21" s="10" t="n">
        <v>1</v>
      </c>
      <c r="E21" s="11" t="n"/>
      <c r="F21" s="13">
        <f>IF(OR(D21="",E21=""),0,D21*E21)</f>
        <v/>
      </c>
      <c r="G21" s="10" t="inlineStr">
        <is>
          <t>Não</t>
        </is>
      </c>
      <c r="H21" s="10" t="n"/>
    </row>
    <row r="22">
      <c r="A22" s="10" t="inlineStr">
        <is>
          <t>Higiene</t>
        </is>
      </c>
      <c r="B22" s="10" t="inlineStr">
        <is>
          <t>Cesto de roupas</t>
        </is>
      </c>
      <c r="C22" s="10" t="inlineStr">
        <is>
          <t>Importante</t>
        </is>
      </c>
      <c r="D22" s="10" t="n">
        <v>1</v>
      </c>
      <c r="E22" s="11" t="n"/>
      <c r="F22" s="13">
        <f>IF(OR(D22="",E22=""),0,D22*E22)</f>
        <v/>
      </c>
      <c r="G22" s="10" t="inlineStr">
        <is>
          <t>Não</t>
        </is>
      </c>
      <c r="H22" s="10" t="n"/>
    </row>
    <row r="23">
      <c r="A23" s="10" t="inlineStr">
        <is>
          <t>Higiene</t>
        </is>
      </c>
      <c r="B23" s="10" t="inlineStr">
        <is>
          <t>Lixeira com tampa</t>
        </is>
      </c>
      <c r="C23" s="10" t="inlineStr">
        <is>
          <t>Importante</t>
        </is>
      </c>
      <c r="D23" s="10" t="n">
        <v>1</v>
      </c>
      <c r="E23" s="11" t="n"/>
      <c r="F23" s="13">
        <f>IF(OR(D23="",E23=""),0,D23*E23)</f>
        <v/>
      </c>
      <c r="G23" s="10" t="inlineStr">
        <is>
          <t>Não</t>
        </is>
      </c>
      <c r="H23" s="10" t="n"/>
    </row>
    <row r="24">
      <c r="A24" s="10" t="inlineStr">
        <is>
          <t>Sono</t>
        </is>
      </c>
      <c r="B24" s="10" t="inlineStr">
        <is>
          <t>Berço com selo Inmetro</t>
        </is>
      </c>
      <c r="C24" s="10" t="inlineStr">
        <is>
          <t>Essencial</t>
        </is>
      </c>
      <c r="D24" s="10" t="n">
        <v>1</v>
      </c>
      <c r="E24" s="11" t="n"/>
      <c r="F24" s="13">
        <f>IF(OR(D24="",E24=""),0,D24*E24)</f>
        <v/>
      </c>
      <c r="G24" s="10" t="inlineStr">
        <is>
          <t>Não</t>
        </is>
      </c>
      <c r="H24" s="10" t="n"/>
    </row>
    <row r="25">
      <c r="A25" s="10" t="inlineStr">
        <is>
          <t>Sono</t>
        </is>
      </c>
      <c r="B25" s="10" t="inlineStr">
        <is>
          <t>Colchão firme do tamanho do berço</t>
        </is>
      </c>
      <c r="C25" s="10" t="inlineStr">
        <is>
          <t>Essencial</t>
        </is>
      </c>
      <c r="D25" s="10" t="n">
        <v>1</v>
      </c>
      <c r="E25" s="11" t="n"/>
      <c r="F25" s="13">
        <f>IF(OR(D25="",E25=""),0,D25*E25)</f>
        <v/>
      </c>
      <c r="G25" s="10" t="inlineStr">
        <is>
          <t>Não</t>
        </is>
      </c>
      <c r="H25" s="10" t="n"/>
    </row>
    <row r="26">
      <c r="A26" s="10" t="inlineStr">
        <is>
          <t>Sono</t>
        </is>
      </c>
      <c r="B26" s="10" t="inlineStr">
        <is>
          <t>Lençol com elástico</t>
        </is>
      </c>
      <c r="C26" s="10" t="inlineStr">
        <is>
          <t>Essencial</t>
        </is>
      </c>
      <c r="D26" s="10" t="n">
        <v>3</v>
      </c>
      <c r="E26" s="11" t="n"/>
      <c r="F26" s="13">
        <f>IF(OR(D26="",E26=""),0,D26*E26)</f>
        <v/>
      </c>
      <c r="G26" s="10" t="inlineStr">
        <is>
          <t>Não</t>
        </is>
      </c>
      <c r="H26" s="10" t="n"/>
    </row>
    <row r="27">
      <c r="A27" s="10" t="inlineStr">
        <is>
          <t>Sono</t>
        </is>
      </c>
      <c r="B27" s="10" t="inlineStr">
        <is>
          <t>Saco de dormir para bebê</t>
        </is>
      </c>
      <c r="C27" s="10" t="inlineStr">
        <is>
          <t>Importante</t>
        </is>
      </c>
      <c r="D27" s="10" t="n">
        <v>1</v>
      </c>
      <c r="E27" s="11" t="n"/>
      <c r="F27" s="13">
        <f>IF(OR(D27="",E27=""),0,D27*E27)</f>
        <v/>
      </c>
      <c r="G27" s="10" t="inlineStr">
        <is>
          <t>Não</t>
        </is>
      </c>
      <c r="H27" s="10" t="n"/>
    </row>
    <row r="28">
      <c r="A28" s="10" t="inlineStr">
        <is>
          <t>Quarto</t>
        </is>
      </c>
      <c r="B28" s="10" t="inlineStr">
        <is>
          <t>Cômoda</t>
        </is>
      </c>
      <c r="C28" s="10" t="inlineStr">
        <is>
          <t>Importante</t>
        </is>
      </c>
      <c r="D28" s="10" t="n">
        <v>1</v>
      </c>
      <c r="E28" s="11" t="n"/>
      <c r="F28" s="13">
        <f>IF(OR(D28="",E28=""),0,D28*E28)</f>
        <v/>
      </c>
      <c r="G28" s="10" t="inlineStr">
        <is>
          <t>Não</t>
        </is>
      </c>
      <c r="H28" s="10" t="n"/>
    </row>
    <row r="29">
      <c r="A29" s="10" t="inlineStr">
        <is>
          <t>Quarto</t>
        </is>
      </c>
      <c r="B29" s="10" t="inlineStr">
        <is>
          <t>Luz noturna</t>
        </is>
      </c>
      <c r="C29" s="10" t="inlineStr">
        <is>
          <t>Importante</t>
        </is>
      </c>
      <c r="D29" s="10" t="n">
        <v>1</v>
      </c>
      <c r="E29" s="11" t="n"/>
      <c r="F29" s="13">
        <f>IF(OR(D29="",E29=""),0,D29*E29)</f>
        <v/>
      </c>
      <c r="G29" s="10" t="inlineStr">
        <is>
          <t>Não</t>
        </is>
      </c>
      <c r="H29" s="10" t="n"/>
    </row>
    <row r="30">
      <c r="A30" s="10" t="inlineStr">
        <is>
          <t>Quarto</t>
        </is>
      </c>
      <c r="B30" s="10" t="inlineStr">
        <is>
          <t>Cortina / persiana</t>
        </is>
      </c>
      <c r="C30" s="10" t="inlineStr">
        <is>
          <t>Importante</t>
        </is>
      </c>
      <c r="D30" s="10" t="n">
        <v>1</v>
      </c>
      <c r="E30" s="11" t="n"/>
      <c r="F30" s="13">
        <f>IF(OR(D30="",E30=""),0,D30*E30)</f>
        <v/>
      </c>
      <c r="G30" s="10" t="inlineStr">
        <is>
          <t>Não</t>
        </is>
      </c>
      <c r="H30" s="10" t="n"/>
    </row>
    <row r="31">
      <c r="A31" s="10" t="inlineStr">
        <is>
          <t>Quarto</t>
        </is>
      </c>
      <c r="B31" s="10" t="inlineStr">
        <is>
          <t>Poltrona de amamentação</t>
        </is>
      </c>
      <c r="C31" s="10" t="inlineStr">
        <is>
          <t>Pode esperar</t>
        </is>
      </c>
      <c r="D31" s="10" t="n">
        <v>1</v>
      </c>
      <c r="E31" s="11" t="n"/>
      <c r="F31" s="13">
        <f>IF(OR(D31="",E31=""),0,D31*E31)</f>
        <v/>
      </c>
      <c r="G31" s="10" t="inlineStr">
        <is>
          <t>Não</t>
        </is>
      </c>
      <c r="H31" s="10" t="n"/>
    </row>
    <row r="32">
      <c r="A32" s="10" t="inlineStr">
        <is>
          <t>Passeio</t>
        </is>
      </c>
      <c r="B32" s="10" t="inlineStr">
        <is>
          <t>Bebê-conforto com selo Inmetro</t>
        </is>
      </c>
      <c r="C32" s="10" t="inlineStr">
        <is>
          <t>Essencial</t>
        </is>
      </c>
      <c r="D32" s="10" t="n">
        <v>1</v>
      </c>
      <c r="E32" s="11" t="n"/>
      <c r="F32" s="13">
        <f>IF(OR(D32="",E32=""),0,D32*E32)</f>
        <v/>
      </c>
      <c r="G32" s="10" t="inlineStr">
        <is>
          <t>Não</t>
        </is>
      </c>
      <c r="H32" s="10" t="n"/>
    </row>
    <row r="33">
      <c r="A33" s="10" t="inlineStr">
        <is>
          <t>Passeio</t>
        </is>
      </c>
      <c r="B33" s="10" t="inlineStr">
        <is>
          <t>Carrinho</t>
        </is>
      </c>
      <c r="C33" s="10" t="inlineStr">
        <is>
          <t>Importante</t>
        </is>
      </c>
      <c r="D33" s="10" t="n">
        <v>1</v>
      </c>
      <c r="E33" s="11" t="n"/>
      <c r="F33" s="13">
        <f>IF(OR(D33="",E33=""),0,D33*E33)</f>
        <v/>
      </c>
      <c r="G33" s="10" t="inlineStr">
        <is>
          <t>Não</t>
        </is>
      </c>
      <c r="H33" s="10" t="n"/>
    </row>
    <row r="34">
      <c r="A34" s="10" t="inlineStr">
        <is>
          <t>Passeio</t>
        </is>
      </c>
      <c r="B34" s="10" t="inlineStr">
        <is>
          <t>Bolsa de maternidade</t>
        </is>
      </c>
      <c r="C34" s="10" t="inlineStr">
        <is>
          <t>Importante</t>
        </is>
      </c>
      <c r="D34" s="10" t="n">
        <v>1</v>
      </c>
      <c r="E34" s="11" t="n"/>
      <c r="F34" s="13">
        <f>IF(OR(D34="",E34=""),0,D34*E34)</f>
        <v/>
      </c>
      <c r="G34" s="10" t="inlineStr">
        <is>
          <t>Não</t>
        </is>
      </c>
      <c r="H34" s="10" t="n"/>
    </row>
    <row r="35">
      <c r="A35" s="10" t="inlineStr">
        <is>
          <t>Passeio</t>
        </is>
      </c>
      <c r="B35" s="10" t="inlineStr">
        <is>
          <t>Sling / canguru ergonômico</t>
        </is>
      </c>
      <c r="C35" s="10" t="inlineStr">
        <is>
          <t>Importante</t>
        </is>
      </c>
      <c r="D35" s="10" t="n">
        <v>1</v>
      </c>
      <c r="E35" s="11" t="n"/>
      <c r="F35" s="13">
        <f>IF(OR(D35="",E35=""),0,D35*E35)</f>
        <v/>
      </c>
      <c r="G35" s="10" t="inlineStr">
        <is>
          <t>Não</t>
        </is>
      </c>
      <c r="H35" s="10" t="n"/>
    </row>
    <row r="36">
      <c r="A36" s="10" t="inlineStr">
        <is>
          <t>Alimentação</t>
        </is>
      </c>
      <c r="B36" s="10" t="inlineStr">
        <is>
          <t>Absorvente para seios</t>
        </is>
      </c>
      <c r="C36" s="10" t="inlineStr">
        <is>
          <t>Importante</t>
        </is>
      </c>
      <c r="D36" s="10" t="n">
        <v>1</v>
      </c>
      <c r="E36" s="11" t="n"/>
      <c r="F36" s="13">
        <f>IF(OR(D36="",E36=""),0,D36*E36)</f>
        <v/>
      </c>
      <c r="G36" s="10" t="inlineStr">
        <is>
          <t>Não</t>
        </is>
      </c>
      <c r="H36" s="10" t="n"/>
    </row>
    <row r="37">
      <c r="A37" s="10" t="inlineStr">
        <is>
          <t>Alimentação</t>
        </is>
      </c>
      <c r="B37" s="10" t="inlineStr">
        <is>
          <t>Almofada de amamentação</t>
        </is>
      </c>
      <c r="C37" s="10" t="inlineStr">
        <is>
          <t>Pode esperar</t>
        </is>
      </c>
      <c r="D37" s="10" t="n">
        <v>1</v>
      </c>
      <c r="E37" s="11" t="n"/>
      <c r="F37" s="13">
        <f>IF(OR(D37="",E37=""),0,D37*E37)</f>
        <v/>
      </c>
      <c r="G37" s="10" t="inlineStr">
        <is>
          <t>Não</t>
        </is>
      </c>
      <c r="H37" s="10" t="n"/>
    </row>
    <row r="38">
      <c r="A38" s="10" t="inlineStr">
        <is>
          <t>Alimentação</t>
        </is>
      </c>
      <c r="B38" s="10" t="inlineStr">
        <is>
          <t>Cadeirinha de alimentação</t>
        </is>
      </c>
      <c r="C38" s="10" t="inlineStr">
        <is>
          <t>Pode esperar</t>
        </is>
      </c>
      <c r="D38" s="10" t="n">
        <v>1</v>
      </c>
      <c r="E38" s="11" t="n"/>
      <c r="F38" s="13">
        <f>IF(OR(D38="",E38=""),0,D38*E38)</f>
        <v/>
      </c>
      <c r="G38" s="10" t="inlineStr">
        <is>
          <t>Não</t>
        </is>
      </c>
      <c r="H38" s="10" t="n"/>
    </row>
    <row r="39">
      <c r="A39" s="10" t="inlineStr">
        <is>
          <t>Mãe</t>
        </is>
      </c>
      <c r="B39" s="10" t="inlineStr">
        <is>
          <t>Sutiã de amamentação</t>
        </is>
      </c>
      <c r="C39" s="10" t="inlineStr">
        <is>
          <t>Importante</t>
        </is>
      </c>
      <c r="D39" s="10" t="n">
        <v>2</v>
      </c>
      <c r="E39" s="11" t="n"/>
      <c r="F39" s="13">
        <f>IF(OR(D39="",E39=""),0,D39*E39)</f>
        <v/>
      </c>
      <c r="G39" s="10" t="inlineStr">
        <is>
          <t>Não</t>
        </is>
      </c>
      <c r="H39" s="10" t="n"/>
    </row>
    <row r="40">
      <c r="A40" s="10" t="inlineStr">
        <is>
          <t>Mãe</t>
        </is>
      </c>
      <c r="B40" s="10" t="inlineStr">
        <is>
          <t>Absorvente pós-parto (pacotes)</t>
        </is>
      </c>
      <c r="C40" s="10" t="inlineStr">
        <is>
          <t>Essencial</t>
        </is>
      </c>
      <c r="D40" s="10" t="n">
        <v>3</v>
      </c>
      <c r="E40" s="11" t="n"/>
      <c r="F40" s="13">
        <f>IF(OR(D40="",E40=""),0,D40*E40)</f>
        <v/>
      </c>
      <c r="G40" s="10" t="inlineStr">
        <is>
          <t>Não</t>
        </is>
      </c>
      <c r="H40" s="10" t="n"/>
    </row>
    <row r="41">
      <c r="A41" s="10" t="n"/>
      <c r="B41" s="10" t="n"/>
      <c r="C41" s="10" t="n"/>
      <c r="D41" s="10" t="n"/>
      <c r="E41" s="11" t="n"/>
      <c r="F41" s="13">
        <f>IF(OR(D41="",E41=""),0,D41*E41)</f>
        <v/>
      </c>
      <c r="G41" s="10" t="n"/>
      <c r="H41" s="10" t="n"/>
    </row>
    <row r="42">
      <c r="A42" s="10" t="n"/>
      <c r="B42" s="10" t="n"/>
      <c r="C42" s="10" t="n"/>
      <c r="D42" s="10" t="n"/>
      <c r="E42" s="11" t="n"/>
      <c r="F42" s="13">
        <f>IF(OR(D42="",E42=""),0,D42*E42)</f>
        <v/>
      </c>
      <c r="G42" s="10" t="n"/>
      <c r="H42" s="10" t="n"/>
    </row>
    <row r="43">
      <c r="A43" s="10" t="n"/>
      <c r="B43" s="10" t="n"/>
      <c r="C43" s="10" t="n"/>
      <c r="D43" s="10" t="n"/>
      <c r="E43" s="11" t="n"/>
      <c r="F43" s="13">
        <f>IF(OR(D43="",E43=""),0,D43*E43)</f>
        <v/>
      </c>
      <c r="G43" s="10" t="n"/>
      <c r="H43" s="10" t="n"/>
    </row>
    <row r="44">
      <c r="A44" s="10" t="n"/>
      <c r="B44" s="10" t="n"/>
      <c r="C44" s="10" t="n"/>
      <c r="D44" s="10" t="n"/>
      <c r="E44" s="11" t="n"/>
      <c r="F44" s="13">
        <f>IF(OR(D44="",E44=""),0,D44*E44)</f>
        <v/>
      </c>
      <c r="G44" s="10" t="n"/>
      <c r="H44" s="10" t="n"/>
    </row>
    <row r="45">
      <c r="A45" s="10" t="n"/>
      <c r="B45" s="10" t="n"/>
      <c r="C45" s="10" t="n"/>
      <c r="D45" s="10" t="n"/>
      <c r="E45" s="11" t="n"/>
      <c r="F45" s="13">
        <f>IF(OR(D45="",E45=""),0,D45*E45)</f>
        <v/>
      </c>
      <c r="G45" s="10" t="n"/>
      <c r="H45" s="10" t="n"/>
    </row>
    <row r="46">
      <c r="A46" s="10" t="n"/>
      <c r="B46" s="10" t="n"/>
      <c r="C46" s="10" t="n"/>
      <c r="D46" s="10" t="n"/>
      <c r="E46" s="11" t="n"/>
      <c r="F46" s="13">
        <f>IF(OR(D46="",E46=""),0,D46*E46)</f>
        <v/>
      </c>
      <c r="G46" s="10" t="n"/>
      <c r="H46" s="10" t="n"/>
    </row>
    <row r="47">
      <c r="A47" s="10" t="n"/>
      <c r="B47" s="10" t="n"/>
      <c r="C47" s="10" t="n"/>
      <c r="D47" s="10" t="n"/>
      <c r="E47" s="11" t="n"/>
      <c r="F47" s="13">
        <f>IF(OR(D47="",E47=""),0,D47*E47)</f>
        <v/>
      </c>
      <c r="G47" s="10" t="n"/>
      <c r="H47" s="10" t="n"/>
    </row>
    <row r="48">
      <c r="A48" s="10" t="n"/>
      <c r="B48" s="10" t="n"/>
      <c r="C48" s="10" t="n"/>
      <c r="D48" s="10" t="n"/>
      <c r="E48" s="11" t="n"/>
      <c r="F48" s="13">
        <f>IF(OR(D48="",E48=""),0,D48*E48)</f>
        <v/>
      </c>
      <c r="G48" s="10" t="n"/>
      <c r="H48" s="10" t="n"/>
    </row>
    <row r="49">
      <c r="A49" s="10" t="n"/>
      <c r="B49" s="10" t="n"/>
      <c r="C49" s="10" t="n"/>
      <c r="D49" s="10" t="n"/>
      <c r="E49" s="11" t="n"/>
      <c r="F49" s="13">
        <f>IF(OR(D49="",E49=""),0,D49*E49)</f>
        <v/>
      </c>
      <c r="G49" s="10" t="n"/>
      <c r="H49" s="10" t="n"/>
    </row>
    <row r="50">
      <c r="A50" s="10" t="n"/>
      <c r="B50" s="10" t="n"/>
      <c r="C50" s="10" t="n"/>
      <c r="D50" s="10" t="n"/>
      <c r="E50" s="11" t="n"/>
      <c r="F50" s="13">
        <f>IF(OR(D50="",E50=""),0,D50*E50)</f>
        <v/>
      </c>
      <c r="G50" s="10" t="n"/>
      <c r="H50" s="10" t="n"/>
    </row>
    <row r="51">
      <c r="A51" s="10" t="n"/>
      <c r="B51" s="10" t="n"/>
      <c r="C51" s="10" t="n"/>
      <c r="D51" s="10" t="n"/>
      <c r="E51" s="11" t="n"/>
      <c r="F51" s="13">
        <f>IF(OR(D51="",E51=""),0,D51*E51)</f>
        <v/>
      </c>
      <c r="G51" s="10" t="n"/>
      <c r="H51" s="10" t="n"/>
    </row>
    <row r="52">
      <c r="A52" s="10" t="n"/>
      <c r="B52" s="10" t="n"/>
      <c r="C52" s="10" t="n"/>
      <c r="D52" s="10" t="n"/>
      <c r="E52" s="11" t="n"/>
      <c r="F52" s="13">
        <f>IF(OR(D52="",E52=""),0,D52*E52)</f>
        <v/>
      </c>
      <c r="G52" s="10" t="n"/>
      <c r="H52" s="10" t="n"/>
    </row>
    <row r="53">
      <c r="A53" s="10" t="n"/>
      <c r="B53" s="10" t="n"/>
      <c r="C53" s="10" t="n"/>
      <c r="D53" s="10" t="n"/>
      <c r="E53" s="11" t="n"/>
      <c r="F53" s="13">
        <f>IF(OR(D53="",E53=""),0,D53*E53)</f>
        <v/>
      </c>
      <c r="G53" s="10" t="n"/>
      <c r="H53" s="10" t="n"/>
    </row>
    <row r="54">
      <c r="A54" s="10" t="n"/>
      <c r="B54" s="10" t="n"/>
      <c r="C54" s="10" t="n"/>
      <c r="D54" s="10" t="n"/>
      <c r="E54" s="11" t="n"/>
      <c r="F54" s="13">
        <f>IF(OR(D54="",E54=""),0,D54*E54)</f>
        <v/>
      </c>
      <c r="G54" s="10" t="n"/>
      <c r="H54" s="10" t="n"/>
    </row>
    <row r="55">
      <c r="A55" s="10" t="n"/>
      <c r="B55" s="10" t="n"/>
      <c r="C55" s="10" t="n"/>
      <c r="D55" s="10" t="n"/>
      <c r="E55" s="11" t="n"/>
      <c r="F55" s="13">
        <f>IF(OR(D55="",E55=""),0,D55*E55)</f>
        <v/>
      </c>
      <c r="G55" s="10" t="n"/>
      <c r="H55" s="10" t="n"/>
    </row>
    <row r="56">
      <c r="A56" s="10" t="n"/>
      <c r="B56" s="10" t="n"/>
      <c r="C56" s="10" t="n"/>
      <c r="D56" s="10" t="n"/>
      <c r="E56" s="11" t="n"/>
      <c r="F56" s="13">
        <f>IF(OR(D56="",E56=""),0,D56*E56)</f>
        <v/>
      </c>
      <c r="G56" s="10" t="n"/>
      <c r="H56" s="10" t="n"/>
    </row>
    <row r="57">
      <c r="A57" s="10" t="n"/>
      <c r="B57" s="10" t="n"/>
      <c r="C57" s="10" t="n"/>
      <c r="D57" s="10" t="n"/>
      <c r="E57" s="11" t="n"/>
      <c r="F57" s="13">
        <f>IF(OR(D57="",E57=""),0,D57*E57)</f>
        <v/>
      </c>
      <c r="G57" s="10" t="n"/>
      <c r="H57" s="10" t="n"/>
    </row>
    <row r="58">
      <c r="A58" s="10" t="n"/>
      <c r="B58" s="10" t="n"/>
      <c r="C58" s="10" t="n"/>
      <c r="D58" s="10" t="n"/>
      <c r="E58" s="11" t="n"/>
      <c r="F58" s="13">
        <f>IF(OR(D58="",E58=""),0,D58*E58)</f>
        <v/>
      </c>
      <c r="G58" s="10" t="n"/>
      <c r="H58" s="10" t="n"/>
    </row>
    <row r="59">
      <c r="A59" s="10" t="n"/>
      <c r="B59" s="10" t="n"/>
      <c r="C59" s="10" t="n"/>
      <c r="D59" s="10" t="n"/>
      <c r="E59" s="11" t="n"/>
      <c r="F59" s="13">
        <f>IF(OR(D59="",E59=""),0,D59*E59)</f>
        <v/>
      </c>
      <c r="G59" s="10" t="n"/>
      <c r="H59" s="10" t="n"/>
    </row>
    <row r="60">
      <c r="A60" s="10" t="n"/>
      <c r="B60" s="10" t="n"/>
      <c r="C60" s="10" t="n"/>
      <c r="D60" s="10" t="n"/>
      <c r="E60" s="11" t="n"/>
      <c r="F60" s="13">
        <f>IF(OR(D60="",E60=""),0,D60*E60)</f>
        <v/>
      </c>
      <c r="G60" s="10" t="n"/>
      <c r="H60" s="10" t="n"/>
    </row>
    <row r="61">
      <c r="A61" s="10" t="n"/>
      <c r="B61" s="10" t="n"/>
      <c r="C61" s="10" t="n"/>
      <c r="D61" s="10" t="n"/>
      <c r="E61" s="11" t="n"/>
      <c r="F61" s="13">
        <f>IF(OR(D61="",E61=""),0,D61*E61)</f>
        <v/>
      </c>
      <c r="G61" s="10" t="n"/>
      <c r="H61" s="10" t="n"/>
    </row>
    <row r="62">
      <c r="A62" s="10" t="n"/>
      <c r="B62" s="10" t="n"/>
      <c r="C62" s="10" t="n"/>
      <c r="D62" s="10" t="n"/>
      <c r="E62" s="11" t="n"/>
      <c r="F62" s="13">
        <f>IF(OR(D62="",E62=""),0,D62*E62)</f>
        <v/>
      </c>
      <c r="G62" s="10" t="n"/>
      <c r="H62" s="10" t="n"/>
    </row>
    <row r="63">
      <c r="A63" s="10" t="n"/>
      <c r="B63" s="10" t="n"/>
      <c r="C63" s="10" t="n"/>
      <c r="D63" s="10" t="n"/>
      <c r="E63" s="11" t="n"/>
      <c r="F63" s="13">
        <f>IF(OR(D63="",E63=""),0,D63*E63)</f>
        <v/>
      </c>
      <c r="G63" s="10" t="n"/>
      <c r="H63" s="10" t="n"/>
    </row>
    <row r="64">
      <c r="A64" s="10" t="n"/>
      <c r="B64" s="10" t="n"/>
      <c r="C64" s="10" t="n"/>
      <c r="D64" s="10" t="n"/>
      <c r="E64" s="11" t="n"/>
      <c r="F64" s="13">
        <f>IF(OR(D64="",E64=""),0,D64*E64)</f>
        <v/>
      </c>
      <c r="G64" s="10" t="n"/>
      <c r="H64" s="10" t="n"/>
    </row>
    <row r="65">
      <c r="A65" s="10" t="n"/>
      <c r="B65" s="10" t="n"/>
      <c r="C65" s="10" t="n"/>
      <c r="D65" s="10" t="n"/>
      <c r="E65" s="11" t="n"/>
      <c r="F65" s="13">
        <f>IF(OR(D65="",E65=""),0,D65*E65)</f>
        <v/>
      </c>
      <c r="G65" s="10" t="n"/>
      <c r="H65" s="10" t="n"/>
    </row>
    <row r="66">
      <c r="A66" s="10" t="n"/>
      <c r="B66" s="10" t="n"/>
      <c r="C66" s="10" t="n"/>
      <c r="D66" s="10" t="n"/>
      <c r="E66" s="11" t="n"/>
      <c r="F66" s="13">
        <f>IF(OR(D66="",E66=""),0,D66*E66)</f>
        <v/>
      </c>
      <c r="G66" s="10" t="n"/>
      <c r="H66" s="10" t="n"/>
    </row>
    <row r="67">
      <c r="A67" s="10" t="n"/>
      <c r="B67" s="10" t="n"/>
      <c r="C67" s="10" t="n"/>
      <c r="D67" s="10" t="n"/>
      <c r="E67" s="11" t="n"/>
      <c r="F67" s="13">
        <f>IF(OR(D67="",E67=""),0,D67*E67)</f>
        <v/>
      </c>
      <c r="G67" s="10" t="n"/>
      <c r="H67" s="10" t="n"/>
    </row>
    <row r="68">
      <c r="A68" s="10" t="n"/>
      <c r="B68" s="10" t="n"/>
      <c r="C68" s="10" t="n"/>
      <c r="D68" s="10" t="n"/>
      <c r="E68" s="11" t="n"/>
      <c r="F68" s="13">
        <f>IF(OR(D68="",E68=""),0,D68*E68)</f>
        <v/>
      </c>
      <c r="G68" s="10" t="n"/>
      <c r="H68" s="10" t="n"/>
    </row>
    <row r="69">
      <c r="A69" s="10" t="n"/>
      <c r="B69" s="10" t="n"/>
      <c r="C69" s="10" t="n"/>
      <c r="D69" s="10" t="n"/>
      <c r="E69" s="11" t="n"/>
      <c r="F69" s="13">
        <f>IF(OR(D69="",E69=""),0,D69*E69)</f>
        <v/>
      </c>
      <c r="G69" s="10" t="n"/>
      <c r="H69" s="10" t="n"/>
    </row>
    <row r="70">
      <c r="A70" s="10" t="n"/>
      <c r="B70" s="10" t="n"/>
      <c r="C70" s="10" t="n"/>
      <c r="D70" s="10" t="n"/>
      <c r="E70" s="11" t="n"/>
      <c r="F70" s="13">
        <f>IF(OR(D70="",E70=""),0,D70*E70)</f>
        <v/>
      </c>
      <c r="G70" s="10" t="n"/>
      <c r="H70" s="10" t="n"/>
    </row>
  </sheetData>
  <conditionalFormatting sqref="A5:H70">
    <cfRule type="cellIs" priority="1" operator="equal" dxfId="1">
      <formula>"Sim"</formula>
    </cfRule>
  </conditionalFormatting>
  <dataValidations count="2">
    <dataValidation sqref="C5:C70" showDropDown="0" showInputMessage="0" showErrorMessage="0" allowBlank="1" type="list">
      <formula1>"Essencial,Importante,Pode esperar,Pense antes"</formula1>
    </dataValidation>
    <dataValidation sqref="G5:G7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3" customWidth="1" min="4" max="4"/>
    <col width="12" customWidth="1" min="5" max="5"/>
    <col width="12" customWidth="1" min="6" max="6"/>
    <col width="10" customWidth="1" min="7" max="7"/>
    <col width="18" customWidth="1" min="8" max="8"/>
    <col width="18" customWidth="1" min="9" max="9"/>
  </cols>
  <sheetData>
    <row r="1">
      <c r="A1" s="1" t="inlineStr">
        <is>
          <t>🧷 Calculadora de fraldas</t>
        </is>
      </c>
    </row>
    <row r="2">
      <c r="A2" t="inlineStr">
        <is>
          <t>Estimativas aproximadas — ajuste fraldas/dia e dias no tamanho conforme o seu bebê. Quantidades por pacote variam por marca.</t>
        </is>
      </c>
    </row>
    <row r="4">
      <c r="A4" s="12" t="inlineStr">
        <is>
          <t>Tamanho</t>
        </is>
      </c>
      <c r="B4" s="12" t="inlineStr">
        <is>
          <t>Fraldas por dia</t>
        </is>
      </c>
      <c r="C4" s="12" t="inlineStr">
        <is>
          <t>Dias no tamanho</t>
        </is>
      </c>
      <c r="D4" s="12" t="inlineStr">
        <is>
          <t>Necessárias</t>
        </is>
      </c>
      <c r="E4" s="12" t="inlineStr">
        <is>
          <t>Recebidas</t>
        </is>
      </c>
      <c r="F4" s="12" t="inlineStr">
        <is>
          <t>Compradas</t>
        </is>
      </c>
      <c r="G4" s="12" t="inlineStr">
        <is>
          <t>Falta</t>
        </is>
      </c>
      <c r="H4" s="12" t="inlineStr">
        <is>
          <t>Fraldas por pacote</t>
        </is>
      </c>
      <c r="I4" s="12" t="inlineStr">
        <is>
          <t>Pacotes a comprar</t>
        </is>
      </c>
    </row>
    <row r="5">
      <c r="A5" s="10" t="inlineStr">
        <is>
          <t>RN</t>
        </is>
      </c>
      <c r="B5" s="10" t="n">
        <v>10</v>
      </c>
      <c r="C5" s="10" t="n">
        <v>21</v>
      </c>
      <c r="D5" s="14">
        <f>B5*C5</f>
        <v/>
      </c>
      <c r="E5" s="10" t="n">
        <v>0</v>
      </c>
      <c r="F5" s="10" t="n">
        <v>0</v>
      </c>
      <c r="G5" s="14">
        <f>MAX(0,D5-E5-F5)</f>
        <v/>
      </c>
      <c r="H5" s="10" t="n">
        <v>36</v>
      </c>
      <c r="I5" s="14">
        <f>IF(H5&gt;0,ROUNDUP(G5/H5,0),"")</f>
        <v/>
      </c>
    </row>
    <row r="6">
      <c r="A6" s="10" t="inlineStr">
        <is>
          <t>P</t>
        </is>
      </c>
      <c r="B6" s="10" t="n">
        <v>9</v>
      </c>
      <c r="C6" s="10" t="n">
        <v>45</v>
      </c>
      <c r="D6" s="14">
        <f>B6*C6</f>
        <v/>
      </c>
      <c r="E6" s="10" t="n">
        <v>0</v>
      </c>
      <c r="F6" s="10" t="n">
        <v>0</v>
      </c>
      <c r="G6" s="14">
        <f>MAX(0,D6-E6-F6)</f>
        <v/>
      </c>
      <c r="H6" s="10" t="n">
        <v>46</v>
      </c>
      <c r="I6" s="14">
        <f>IF(H6&gt;0,ROUNDUP(G6/H6,0),"")</f>
        <v/>
      </c>
    </row>
    <row r="7">
      <c r="A7" s="10" t="inlineStr">
        <is>
          <t>M</t>
        </is>
      </c>
      <c r="B7" s="10" t="n">
        <v>8</v>
      </c>
      <c r="C7" s="10" t="n">
        <v>120</v>
      </c>
      <c r="D7" s="14">
        <f>B7*C7</f>
        <v/>
      </c>
      <c r="E7" s="10" t="n">
        <v>0</v>
      </c>
      <c r="F7" s="10" t="n">
        <v>0</v>
      </c>
      <c r="G7" s="14">
        <f>MAX(0,D7-E7-F7)</f>
        <v/>
      </c>
      <c r="H7" s="10" t="n">
        <v>40</v>
      </c>
      <c r="I7" s="14">
        <f>IF(H7&gt;0,ROUNDUP(G7/H7,0),"")</f>
        <v/>
      </c>
    </row>
    <row r="8">
      <c r="A8" s="10" t="inlineStr">
        <is>
          <t>G</t>
        </is>
      </c>
      <c r="B8" s="10" t="n">
        <v>6</v>
      </c>
      <c r="C8" s="10" t="n">
        <v>180</v>
      </c>
      <c r="D8" s="14">
        <f>B8*C8</f>
        <v/>
      </c>
      <c r="E8" s="10" t="n">
        <v>0</v>
      </c>
      <c r="F8" s="10" t="n">
        <v>0</v>
      </c>
      <c r="G8" s="14">
        <f>MAX(0,D8-E8-F8)</f>
        <v/>
      </c>
      <c r="H8" s="10" t="n">
        <v>34</v>
      </c>
      <c r="I8" s="14">
        <f>IF(H8&gt;0,ROUNDUP(G8/H8,0),"")</f>
        <v/>
      </c>
    </row>
    <row r="9">
      <c r="A9" s="10" t="inlineStr">
        <is>
          <t>XG</t>
        </is>
      </c>
      <c r="B9" s="10" t="n">
        <v>5</v>
      </c>
      <c r="C9" s="10" t="n">
        <v>180</v>
      </c>
      <c r="D9" s="14">
        <f>B9*C9</f>
        <v/>
      </c>
      <c r="E9" s="10" t="n">
        <v>0</v>
      </c>
      <c r="F9" s="10" t="n">
        <v>0</v>
      </c>
      <c r="G9" s="14">
        <f>MAX(0,D9-E9-F9)</f>
        <v/>
      </c>
      <c r="H9" s="10" t="n">
        <v>30</v>
      </c>
      <c r="I9" s="14">
        <f>IF(H9&gt;0,ROUNDUP(G9/H9,0),"")</f>
        <v/>
      </c>
    </row>
    <row r="10">
      <c r="A10" s="8" t="inlineStr">
        <is>
          <t>TOTAL</t>
        </is>
      </c>
      <c r="D10" s="8">
        <f>SUM(D5:D9)</f>
        <v/>
      </c>
      <c r="E10" s="8">
        <f>SUM(E5:E9)</f>
        <v/>
      </c>
      <c r="F10" s="8">
        <f>SUM(F5:F9)</f>
        <v/>
      </c>
      <c r="G10" s="8">
        <f>SUM(G5:G9)</f>
        <v/>
      </c>
      <c r="I10" s="8">
        <f>SUM(I5:I9)</f>
        <v/>
      </c>
    </row>
    <row r="12">
      <c r="A12" t="inlineStr">
        <is>
          <t>Dica: compre aos poucos — o bebê pode pular um tamanho. No chá de bebê, peça tamanhos P, M e 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14" customWidth="1" min="4" max="4"/>
    <col width="8" customWidth="1" min="5" max="5"/>
    <col width="10" customWidth="1" min="7" max="7"/>
    <col width="16" customWidth="1" min="8" max="8"/>
  </cols>
  <sheetData>
    <row r="1">
      <c r="A1" s="1" t="inlineStr">
        <is>
          <t>📋 Outros gastos (consultas, exames, remédios, transporte…)</t>
        </is>
      </c>
    </row>
    <row r="3">
      <c r="A3" s="12" t="inlineStr">
        <is>
          <t>Data</t>
        </is>
      </c>
      <c r="B3" s="12" t="inlineStr">
        <is>
          <t>Descrição</t>
        </is>
      </c>
      <c r="C3" s="12" t="inlineStr">
        <is>
          <t>Categoria</t>
        </is>
      </c>
      <c r="D3" s="12" t="inlineStr">
        <is>
          <t>Valor</t>
        </is>
      </c>
      <c r="E3" s="12" t="inlineStr">
        <is>
          <t>Pago?</t>
        </is>
      </c>
      <c r="G3" s="8" t="inlineStr">
        <is>
          <t>TOTAL</t>
        </is>
      </c>
      <c r="H3" s="15">
        <f>SUM(D4:D103)</f>
        <v/>
      </c>
    </row>
    <row r="4">
      <c r="A4" s="16" t="n"/>
      <c r="B4" s="10" t="n"/>
      <c r="C4" s="10" t="n"/>
      <c r="D4" s="11" t="n"/>
      <c r="E4" s="10" t="n"/>
      <c r="G4" t="inlineStr">
        <is>
          <t>Pago</t>
        </is>
      </c>
      <c r="H4" s="15">
        <f>SUMIF(E4:E103,"Sim",D4:D103)</f>
        <v/>
      </c>
    </row>
    <row r="5">
      <c r="A5" s="16" t="n"/>
      <c r="B5" s="10" t="n"/>
      <c r="C5" s="10" t="n"/>
      <c r="D5" s="11" t="n"/>
      <c r="E5" s="10" t="n"/>
    </row>
    <row r="6">
      <c r="A6" s="16" t="n"/>
      <c r="B6" s="10" t="n"/>
      <c r="C6" s="10" t="n"/>
      <c r="D6" s="11" t="n"/>
      <c r="E6" s="10" t="n"/>
    </row>
    <row r="7">
      <c r="A7" s="16" t="n"/>
      <c r="B7" s="10" t="n"/>
      <c r="C7" s="10" t="n"/>
      <c r="D7" s="11" t="n"/>
      <c r="E7" s="10" t="n"/>
    </row>
    <row r="8">
      <c r="A8" s="16" t="n"/>
      <c r="B8" s="10" t="n"/>
      <c r="C8" s="10" t="n"/>
      <c r="D8" s="11" t="n"/>
      <c r="E8" s="10" t="n"/>
    </row>
    <row r="9">
      <c r="A9" s="16" t="n"/>
      <c r="B9" s="10" t="n"/>
      <c r="C9" s="10" t="n"/>
      <c r="D9" s="11" t="n"/>
      <c r="E9" s="10" t="n"/>
    </row>
    <row r="10">
      <c r="A10" s="16" t="n"/>
      <c r="B10" s="10" t="n"/>
      <c r="C10" s="10" t="n"/>
      <c r="D10" s="11" t="n"/>
      <c r="E10" s="10" t="n"/>
    </row>
    <row r="11">
      <c r="A11" s="16" t="n"/>
      <c r="B11" s="10" t="n"/>
      <c r="C11" s="10" t="n"/>
      <c r="D11" s="11" t="n"/>
      <c r="E11" s="10" t="n"/>
    </row>
    <row r="12">
      <c r="A12" s="16" t="n"/>
      <c r="B12" s="10" t="n"/>
      <c r="C12" s="10" t="n"/>
      <c r="D12" s="11" t="n"/>
      <c r="E12" s="10" t="n"/>
    </row>
    <row r="13">
      <c r="A13" s="16" t="n"/>
      <c r="B13" s="10" t="n"/>
      <c r="C13" s="10" t="n"/>
      <c r="D13" s="11" t="n"/>
      <c r="E13" s="10" t="n"/>
    </row>
    <row r="14">
      <c r="A14" s="16" t="n"/>
      <c r="B14" s="10" t="n"/>
      <c r="C14" s="10" t="n"/>
      <c r="D14" s="11" t="n"/>
      <c r="E14" s="10" t="n"/>
    </row>
    <row r="15">
      <c r="A15" s="16" t="n"/>
      <c r="B15" s="10" t="n"/>
      <c r="C15" s="10" t="n"/>
      <c r="D15" s="11" t="n"/>
      <c r="E15" s="10" t="n"/>
    </row>
    <row r="16">
      <c r="A16" s="16" t="n"/>
      <c r="B16" s="10" t="n"/>
      <c r="C16" s="10" t="n"/>
      <c r="D16" s="11" t="n"/>
      <c r="E16" s="10" t="n"/>
    </row>
    <row r="17">
      <c r="A17" s="16" t="n"/>
      <c r="B17" s="10" t="n"/>
      <c r="C17" s="10" t="n"/>
      <c r="D17" s="11" t="n"/>
      <c r="E17" s="10" t="n"/>
    </row>
    <row r="18">
      <c r="A18" s="16" t="n"/>
      <c r="B18" s="10" t="n"/>
      <c r="C18" s="10" t="n"/>
      <c r="D18" s="11" t="n"/>
      <c r="E18" s="10" t="n"/>
    </row>
    <row r="19">
      <c r="A19" s="16" t="n"/>
      <c r="B19" s="10" t="n"/>
      <c r="C19" s="10" t="n"/>
      <c r="D19" s="11" t="n"/>
      <c r="E19" s="10" t="n"/>
    </row>
    <row r="20">
      <c r="A20" s="16" t="n"/>
      <c r="B20" s="10" t="n"/>
      <c r="C20" s="10" t="n"/>
      <c r="D20" s="11" t="n"/>
      <c r="E20" s="10" t="n"/>
    </row>
    <row r="21">
      <c r="A21" s="16" t="n"/>
      <c r="B21" s="10" t="n"/>
      <c r="C21" s="10" t="n"/>
      <c r="D21" s="11" t="n"/>
      <c r="E21" s="10" t="n"/>
    </row>
    <row r="22">
      <c r="A22" s="16" t="n"/>
      <c r="B22" s="10" t="n"/>
      <c r="C22" s="10" t="n"/>
      <c r="D22" s="11" t="n"/>
      <c r="E22" s="10" t="n"/>
    </row>
    <row r="23">
      <c r="A23" s="16" t="n"/>
      <c r="B23" s="10" t="n"/>
      <c r="C23" s="10" t="n"/>
      <c r="D23" s="11" t="n"/>
      <c r="E23" s="10" t="n"/>
    </row>
    <row r="24">
      <c r="A24" s="16" t="n"/>
      <c r="B24" s="10" t="n"/>
      <c r="C24" s="10" t="n"/>
      <c r="D24" s="11" t="n"/>
      <c r="E24" s="10" t="n"/>
    </row>
    <row r="25">
      <c r="A25" s="16" t="n"/>
      <c r="B25" s="10" t="n"/>
      <c r="C25" s="10" t="n"/>
      <c r="D25" s="11" t="n"/>
      <c r="E25" s="10" t="n"/>
    </row>
    <row r="26">
      <c r="A26" s="16" t="n"/>
      <c r="B26" s="10" t="n"/>
      <c r="C26" s="10" t="n"/>
      <c r="D26" s="11" t="n"/>
      <c r="E26" s="10" t="n"/>
    </row>
    <row r="27">
      <c r="A27" s="16" t="n"/>
      <c r="B27" s="10" t="n"/>
      <c r="C27" s="10" t="n"/>
      <c r="D27" s="11" t="n"/>
      <c r="E27" s="10" t="n"/>
    </row>
    <row r="28">
      <c r="A28" s="16" t="n"/>
      <c r="B28" s="10" t="n"/>
      <c r="C28" s="10" t="n"/>
      <c r="D28" s="11" t="n"/>
      <c r="E28" s="10" t="n"/>
    </row>
    <row r="29">
      <c r="A29" s="16" t="n"/>
      <c r="B29" s="10" t="n"/>
      <c r="C29" s="10" t="n"/>
      <c r="D29" s="11" t="n"/>
      <c r="E29" s="10" t="n"/>
    </row>
    <row r="30">
      <c r="A30" s="16" t="n"/>
      <c r="B30" s="10" t="n"/>
      <c r="C30" s="10" t="n"/>
      <c r="D30" s="11" t="n"/>
      <c r="E30" s="10" t="n"/>
    </row>
    <row r="31">
      <c r="A31" s="16" t="n"/>
      <c r="B31" s="10" t="n"/>
      <c r="C31" s="10" t="n"/>
      <c r="D31" s="11" t="n"/>
      <c r="E31" s="10" t="n"/>
    </row>
    <row r="32">
      <c r="A32" s="16" t="n"/>
      <c r="B32" s="10" t="n"/>
      <c r="C32" s="10" t="n"/>
      <c r="D32" s="11" t="n"/>
      <c r="E32" s="10" t="n"/>
    </row>
    <row r="33">
      <c r="A33" s="16" t="n"/>
      <c r="B33" s="10" t="n"/>
      <c r="C33" s="10" t="n"/>
      <c r="D33" s="11" t="n"/>
      <c r="E33" s="10" t="n"/>
    </row>
    <row r="34">
      <c r="A34" s="16" t="n"/>
      <c r="B34" s="10" t="n"/>
      <c r="C34" s="10" t="n"/>
      <c r="D34" s="11" t="n"/>
      <c r="E34" s="10" t="n"/>
    </row>
    <row r="35">
      <c r="A35" s="16" t="n"/>
      <c r="B35" s="10" t="n"/>
      <c r="C35" s="10" t="n"/>
      <c r="D35" s="11" t="n"/>
      <c r="E35" s="10" t="n"/>
    </row>
    <row r="36">
      <c r="A36" s="16" t="n"/>
      <c r="B36" s="10" t="n"/>
      <c r="C36" s="10" t="n"/>
      <c r="D36" s="11" t="n"/>
      <c r="E36" s="10" t="n"/>
    </row>
    <row r="37">
      <c r="A37" s="16" t="n"/>
      <c r="B37" s="10" t="n"/>
      <c r="C37" s="10" t="n"/>
      <c r="D37" s="11" t="n"/>
      <c r="E37" s="10" t="n"/>
    </row>
    <row r="38">
      <c r="A38" s="16" t="n"/>
      <c r="B38" s="10" t="n"/>
      <c r="C38" s="10" t="n"/>
      <c r="D38" s="11" t="n"/>
      <c r="E38" s="10" t="n"/>
    </row>
    <row r="39">
      <c r="A39" s="16" t="n"/>
      <c r="B39" s="10" t="n"/>
      <c r="C39" s="10" t="n"/>
      <c r="D39" s="11" t="n"/>
      <c r="E39" s="10" t="n"/>
    </row>
    <row r="40">
      <c r="A40" s="16" t="n"/>
      <c r="B40" s="10" t="n"/>
      <c r="C40" s="10" t="n"/>
      <c r="D40" s="11" t="n"/>
      <c r="E40" s="10" t="n"/>
    </row>
    <row r="41">
      <c r="A41" s="16" t="n"/>
      <c r="B41" s="10" t="n"/>
      <c r="C41" s="10" t="n"/>
      <c r="D41" s="11" t="n"/>
      <c r="E41" s="10" t="n"/>
    </row>
    <row r="42">
      <c r="A42" s="16" t="n"/>
      <c r="B42" s="10" t="n"/>
      <c r="C42" s="10" t="n"/>
      <c r="D42" s="11" t="n"/>
      <c r="E42" s="10" t="n"/>
    </row>
    <row r="43">
      <c r="A43" s="16" t="n"/>
      <c r="B43" s="10" t="n"/>
      <c r="C43" s="10" t="n"/>
      <c r="D43" s="11" t="n"/>
      <c r="E43" s="10" t="n"/>
    </row>
    <row r="44">
      <c r="A44" s="16" t="n"/>
      <c r="B44" s="10" t="n"/>
      <c r="C44" s="10" t="n"/>
      <c r="D44" s="11" t="n"/>
      <c r="E44" s="10" t="n"/>
    </row>
    <row r="45">
      <c r="A45" s="16" t="n"/>
      <c r="B45" s="10" t="n"/>
      <c r="C45" s="10" t="n"/>
      <c r="D45" s="11" t="n"/>
      <c r="E45" s="10" t="n"/>
    </row>
    <row r="46">
      <c r="A46" s="16" t="n"/>
      <c r="B46" s="10" t="n"/>
      <c r="C46" s="10" t="n"/>
      <c r="D46" s="11" t="n"/>
      <c r="E46" s="10" t="n"/>
    </row>
    <row r="47">
      <c r="A47" s="16" t="n"/>
      <c r="B47" s="10" t="n"/>
      <c r="C47" s="10" t="n"/>
      <c r="D47" s="11" t="n"/>
      <c r="E47" s="10" t="n"/>
    </row>
    <row r="48">
      <c r="A48" s="16" t="n"/>
      <c r="B48" s="10" t="n"/>
      <c r="C48" s="10" t="n"/>
      <c r="D48" s="11" t="n"/>
      <c r="E48" s="10" t="n"/>
    </row>
    <row r="49">
      <c r="A49" s="16" t="n"/>
      <c r="B49" s="10" t="n"/>
      <c r="C49" s="10" t="n"/>
      <c r="D49" s="11" t="n"/>
      <c r="E49" s="10" t="n"/>
    </row>
    <row r="50">
      <c r="A50" s="16" t="n"/>
      <c r="B50" s="10" t="n"/>
      <c r="C50" s="10" t="n"/>
      <c r="D50" s="11" t="n"/>
      <c r="E50" s="10" t="n"/>
    </row>
    <row r="51">
      <c r="A51" s="16" t="n"/>
      <c r="B51" s="10" t="n"/>
      <c r="C51" s="10" t="n"/>
      <c r="D51" s="11" t="n"/>
      <c r="E51" s="10" t="n"/>
    </row>
    <row r="52">
      <c r="A52" s="16" t="n"/>
      <c r="B52" s="10" t="n"/>
      <c r="C52" s="10" t="n"/>
      <c r="D52" s="11" t="n"/>
      <c r="E52" s="10" t="n"/>
    </row>
    <row r="53">
      <c r="A53" s="16" t="n"/>
      <c r="B53" s="10" t="n"/>
      <c r="C53" s="10" t="n"/>
      <c r="D53" s="11" t="n"/>
      <c r="E53" s="10" t="n"/>
    </row>
    <row r="54">
      <c r="A54" s="16" t="n"/>
      <c r="B54" s="10" t="n"/>
      <c r="C54" s="10" t="n"/>
      <c r="D54" s="11" t="n"/>
      <c r="E54" s="10" t="n"/>
    </row>
    <row r="55">
      <c r="A55" s="16" t="n"/>
      <c r="B55" s="10" t="n"/>
      <c r="C55" s="10" t="n"/>
      <c r="D55" s="11" t="n"/>
      <c r="E55" s="10" t="n"/>
    </row>
    <row r="56">
      <c r="A56" s="16" t="n"/>
      <c r="B56" s="10" t="n"/>
      <c r="C56" s="10" t="n"/>
      <c r="D56" s="11" t="n"/>
      <c r="E56" s="10" t="n"/>
    </row>
    <row r="57">
      <c r="A57" s="16" t="n"/>
      <c r="B57" s="10" t="n"/>
      <c r="C57" s="10" t="n"/>
      <c r="D57" s="11" t="n"/>
      <c r="E57" s="10" t="n"/>
    </row>
    <row r="58">
      <c r="A58" s="16" t="n"/>
      <c r="B58" s="10" t="n"/>
      <c r="C58" s="10" t="n"/>
      <c r="D58" s="11" t="n"/>
      <c r="E58" s="10" t="n"/>
    </row>
    <row r="59">
      <c r="A59" s="16" t="n"/>
      <c r="B59" s="10" t="n"/>
      <c r="C59" s="10" t="n"/>
      <c r="D59" s="11" t="n"/>
      <c r="E59" s="10" t="n"/>
    </row>
    <row r="60">
      <c r="A60" s="16" t="n"/>
      <c r="B60" s="10" t="n"/>
      <c r="C60" s="10" t="n"/>
      <c r="D60" s="11" t="n"/>
      <c r="E60" s="10" t="n"/>
    </row>
    <row r="61">
      <c r="A61" s="16" t="n"/>
      <c r="B61" s="10" t="n"/>
      <c r="C61" s="10" t="n"/>
      <c r="D61" s="11" t="n"/>
      <c r="E61" s="10" t="n"/>
    </row>
    <row r="62">
      <c r="A62" s="16" t="n"/>
      <c r="B62" s="10" t="n"/>
      <c r="C62" s="10" t="n"/>
      <c r="D62" s="11" t="n"/>
      <c r="E62" s="10" t="n"/>
    </row>
    <row r="63">
      <c r="A63" s="16" t="n"/>
      <c r="B63" s="10" t="n"/>
      <c r="C63" s="10" t="n"/>
      <c r="D63" s="11" t="n"/>
      <c r="E63" s="10" t="n"/>
    </row>
    <row r="64">
      <c r="A64" s="16" t="n"/>
      <c r="B64" s="10" t="n"/>
      <c r="C64" s="10" t="n"/>
      <c r="D64" s="11" t="n"/>
      <c r="E64" s="10" t="n"/>
    </row>
    <row r="65">
      <c r="A65" s="16" t="n"/>
      <c r="B65" s="10" t="n"/>
      <c r="C65" s="10" t="n"/>
      <c r="D65" s="11" t="n"/>
      <c r="E65" s="10" t="n"/>
    </row>
    <row r="66">
      <c r="A66" s="16" t="n"/>
      <c r="B66" s="10" t="n"/>
      <c r="C66" s="10" t="n"/>
      <c r="D66" s="11" t="n"/>
      <c r="E66" s="10" t="n"/>
    </row>
    <row r="67">
      <c r="A67" s="16" t="n"/>
      <c r="B67" s="10" t="n"/>
      <c r="C67" s="10" t="n"/>
      <c r="D67" s="11" t="n"/>
      <c r="E67" s="10" t="n"/>
    </row>
    <row r="68">
      <c r="A68" s="16" t="n"/>
      <c r="B68" s="10" t="n"/>
      <c r="C68" s="10" t="n"/>
      <c r="D68" s="11" t="n"/>
      <c r="E68" s="10" t="n"/>
    </row>
    <row r="69">
      <c r="A69" s="16" t="n"/>
      <c r="B69" s="10" t="n"/>
      <c r="C69" s="10" t="n"/>
      <c r="D69" s="11" t="n"/>
      <c r="E69" s="10" t="n"/>
    </row>
    <row r="70">
      <c r="A70" s="16" t="n"/>
      <c r="B70" s="10" t="n"/>
      <c r="C70" s="10" t="n"/>
      <c r="D70" s="11" t="n"/>
      <c r="E70" s="10" t="n"/>
    </row>
    <row r="71">
      <c r="A71" s="16" t="n"/>
      <c r="B71" s="10" t="n"/>
      <c r="C71" s="10" t="n"/>
      <c r="D71" s="11" t="n"/>
      <c r="E71" s="10" t="n"/>
    </row>
    <row r="72">
      <c r="A72" s="16" t="n"/>
      <c r="B72" s="10" t="n"/>
      <c r="C72" s="10" t="n"/>
      <c r="D72" s="11" t="n"/>
      <c r="E72" s="10" t="n"/>
    </row>
    <row r="73">
      <c r="A73" s="16" t="n"/>
      <c r="B73" s="10" t="n"/>
      <c r="C73" s="10" t="n"/>
      <c r="D73" s="11" t="n"/>
      <c r="E73" s="10" t="n"/>
    </row>
    <row r="74">
      <c r="A74" s="16" t="n"/>
      <c r="B74" s="10" t="n"/>
      <c r="C74" s="10" t="n"/>
      <c r="D74" s="11" t="n"/>
      <c r="E74" s="10" t="n"/>
    </row>
    <row r="75">
      <c r="A75" s="16" t="n"/>
      <c r="B75" s="10" t="n"/>
      <c r="C75" s="10" t="n"/>
      <c r="D75" s="11" t="n"/>
      <c r="E75" s="10" t="n"/>
    </row>
    <row r="76">
      <c r="A76" s="16" t="n"/>
      <c r="B76" s="10" t="n"/>
      <c r="C76" s="10" t="n"/>
      <c r="D76" s="11" t="n"/>
      <c r="E76" s="10" t="n"/>
    </row>
    <row r="77">
      <c r="A77" s="16" t="n"/>
      <c r="B77" s="10" t="n"/>
      <c r="C77" s="10" t="n"/>
      <c r="D77" s="11" t="n"/>
      <c r="E77" s="10" t="n"/>
    </row>
    <row r="78">
      <c r="A78" s="16" t="n"/>
      <c r="B78" s="10" t="n"/>
      <c r="C78" s="10" t="n"/>
      <c r="D78" s="11" t="n"/>
      <c r="E78" s="10" t="n"/>
    </row>
    <row r="79">
      <c r="A79" s="16" t="n"/>
      <c r="B79" s="10" t="n"/>
      <c r="C79" s="10" t="n"/>
      <c r="D79" s="11" t="n"/>
      <c r="E79" s="10" t="n"/>
    </row>
    <row r="80">
      <c r="A80" s="16" t="n"/>
      <c r="B80" s="10" t="n"/>
      <c r="C80" s="10" t="n"/>
      <c r="D80" s="11" t="n"/>
      <c r="E80" s="10" t="n"/>
    </row>
    <row r="81">
      <c r="A81" s="16" t="n"/>
      <c r="B81" s="10" t="n"/>
      <c r="C81" s="10" t="n"/>
      <c r="D81" s="11" t="n"/>
      <c r="E81" s="10" t="n"/>
    </row>
    <row r="82">
      <c r="A82" s="16" t="n"/>
      <c r="B82" s="10" t="n"/>
      <c r="C82" s="10" t="n"/>
      <c r="D82" s="11" t="n"/>
      <c r="E82" s="10" t="n"/>
    </row>
    <row r="83">
      <c r="A83" s="16" t="n"/>
      <c r="B83" s="10" t="n"/>
      <c r="C83" s="10" t="n"/>
      <c r="D83" s="11" t="n"/>
      <c r="E83" s="10" t="n"/>
    </row>
    <row r="84">
      <c r="A84" s="16" t="n"/>
      <c r="B84" s="10" t="n"/>
      <c r="C84" s="10" t="n"/>
      <c r="D84" s="11" t="n"/>
      <c r="E84" s="10" t="n"/>
    </row>
    <row r="85">
      <c r="A85" s="16" t="n"/>
      <c r="B85" s="10" t="n"/>
      <c r="C85" s="10" t="n"/>
      <c r="D85" s="11" t="n"/>
      <c r="E85" s="10" t="n"/>
    </row>
    <row r="86">
      <c r="A86" s="16" t="n"/>
      <c r="B86" s="10" t="n"/>
      <c r="C86" s="10" t="n"/>
      <c r="D86" s="11" t="n"/>
      <c r="E86" s="10" t="n"/>
    </row>
    <row r="87">
      <c r="A87" s="16" t="n"/>
      <c r="B87" s="10" t="n"/>
      <c r="C87" s="10" t="n"/>
      <c r="D87" s="11" t="n"/>
      <c r="E87" s="10" t="n"/>
    </row>
    <row r="88">
      <c r="A88" s="16" t="n"/>
      <c r="B88" s="10" t="n"/>
      <c r="C88" s="10" t="n"/>
      <c r="D88" s="11" t="n"/>
      <c r="E88" s="10" t="n"/>
    </row>
    <row r="89">
      <c r="A89" s="16" t="n"/>
      <c r="B89" s="10" t="n"/>
      <c r="C89" s="10" t="n"/>
      <c r="D89" s="11" t="n"/>
      <c r="E89" s="10" t="n"/>
    </row>
    <row r="90">
      <c r="A90" s="16" t="n"/>
      <c r="B90" s="10" t="n"/>
      <c r="C90" s="10" t="n"/>
      <c r="D90" s="11" t="n"/>
      <c r="E90" s="10" t="n"/>
    </row>
    <row r="91">
      <c r="A91" s="16" t="n"/>
      <c r="B91" s="10" t="n"/>
      <c r="C91" s="10" t="n"/>
      <c r="D91" s="11" t="n"/>
      <c r="E91" s="10" t="n"/>
    </row>
    <row r="92">
      <c r="A92" s="16" t="n"/>
      <c r="B92" s="10" t="n"/>
      <c r="C92" s="10" t="n"/>
      <c r="D92" s="11" t="n"/>
      <c r="E92" s="10" t="n"/>
    </row>
    <row r="93">
      <c r="A93" s="16" t="n"/>
      <c r="B93" s="10" t="n"/>
      <c r="C93" s="10" t="n"/>
      <c r="D93" s="11" t="n"/>
      <c r="E93" s="10" t="n"/>
    </row>
    <row r="94">
      <c r="A94" s="16" t="n"/>
      <c r="B94" s="10" t="n"/>
      <c r="C94" s="10" t="n"/>
      <c r="D94" s="11" t="n"/>
      <c r="E94" s="10" t="n"/>
    </row>
    <row r="95">
      <c r="A95" s="16" t="n"/>
      <c r="B95" s="10" t="n"/>
      <c r="C95" s="10" t="n"/>
      <c r="D95" s="11" t="n"/>
      <c r="E95" s="10" t="n"/>
    </row>
    <row r="96">
      <c r="A96" s="16" t="n"/>
      <c r="B96" s="10" t="n"/>
      <c r="C96" s="10" t="n"/>
      <c r="D96" s="11" t="n"/>
      <c r="E96" s="10" t="n"/>
    </row>
    <row r="97">
      <c r="A97" s="16" t="n"/>
      <c r="B97" s="10" t="n"/>
      <c r="C97" s="10" t="n"/>
      <c r="D97" s="11" t="n"/>
      <c r="E97" s="10" t="n"/>
    </row>
    <row r="98">
      <c r="A98" s="16" t="n"/>
      <c r="B98" s="10" t="n"/>
      <c r="C98" s="10" t="n"/>
      <c r="D98" s="11" t="n"/>
      <c r="E98" s="10" t="n"/>
    </row>
    <row r="99">
      <c r="A99" s="16" t="n"/>
      <c r="B99" s="10" t="n"/>
      <c r="C99" s="10" t="n"/>
      <c r="D99" s="11" t="n"/>
      <c r="E99" s="10" t="n"/>
    </row>
    <row r="100">
      <c r="A100" s="16" t="n"/>
      <c r="B100" s="10" t="n"/>
      <c r="C100" s="10" t="n"/>
      <c r="D100" s="11" t="n"/>
      <c r="E100" s="10" t="n"/>
    </row>
    <row r="101">
      <c r="A101" s="16" t="n"/>
      <c r="B101" s="10" t="n"/>
      <c r="C101" s="10" t="n"/>
      <c r="D101" s="11" t="n"/>
      <c r="E101" s="10" t="n"/>
    </row>
    <row r="102">
      <c r="A102" s="16" t="n"/>
      <c r="B102" s="10" t="n"/>
      <c r="C102" s="10" t="n"/>
      <c r="D102" s="11" t="n"/>
      <c r="E102" s="10" t="n"/>
    </row>
    <row r="103">
      <c r="A103" s="16" t="n"/>
      <c r="B103" s="10" t="n"/>
      <c r="C103" s="10" t="n"/>
      <c r="D103" s="11" t="n"/>
      <c r="E103" s="10" t="n"/>
    </row>
  </sheetData>
  <dataValidations count="2">
    <dataValidation sqref="C4:C103" showDropDown="0" showInputMessage="0" showErrorMessage="0" allowBlank="1" type="list">
      <formula1>"Consulta,Exame,Medicamento,Transporte,Maternidade,Outros"</formula1>
    </dataValidation>
    <dataValidation sqref="E4:E103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32" customWidth="1" min="4" max="4"/>
    <col width="11" customWidth="1" min="5" max="5"/>
    <col width="26" customWidth="1" min="7" max="7"/>
    <col width="10" customWidth="1" min="8" max="8"/>
  </cols>
  <sheetData>
    <row r="1">
      <c r="A1" s="1" t="inlineStr">
        <is>
          <t>🎁 Chá de bebê</t>
        </is>
      </c>
    </row>
    <row r="3">
      <c r="A3" s="12" t="inlineStr">
        <is>
          <t>Convidado(a)</t>
        </is>
      </c>
      <c r="B3" s="12" t="inlineStr">
        <is>
          <t>Confirmou?</t>
        </is>
      </c>
      <c r="C3" s="12" t="inlineStr">
        <is>
          <t>Tamanho de fralda sugerido</t>
        </is>
      </c>
      <c r="D3" s="12" t="inlineStr">
        <is>
          <t>Presente recebido</t>
        </is>
      </c>
      <c r="E3" s="12" t="inlineStr">
        <is>
          <t>Agradeci?</t>
        </is>
      </c>
      <c r="G3" t="inlineStr">
        <is>
          <t>Confirmados</t>
        </is>
      </c>
      <c r="H3">
        <f>COUNTIF(B4:B83,"Sim")</f>
        <v/>
      </c>
    </row>
    <row r="4">
      <c r="A4" s="10" t="n"/>
      <c r="B4" s="10" t="n"/>
      <c r="C4" s="10" t="n"/>
      <c r="D4" s="10" t="n"/>
      <c r="E4" s="10" t="n"/>
      <c r="G4" t="inlineStr">
        <is>
          <t>Agradecimentos pendentes</t>
        </is>
      </c>
      <c r="H4">
        <f>COUNTIFS(D4:D83,"&lt;&gt;",E4:E83,"&lt;&gt;Sim")</f>
        <v/>
      </c>
    </row>
    <row r="5">
      <c r="A5" s="10" t="n"/>
      <c r="B5" s="10" t="n"/>
      <c r="C5" s="10" t="n"/>
      <c r="D5" s="10" t="n"/>
      <c r="E5" s="10" t="n"/>
    </row>
    <row r="6">
      <c r="A6" s="10" t="n"/>
      <c r="B6" s="10" t="n"/>
      <c r="C6" s="10" t="n"/>
      <c r="D6" s="10" t="n"/>
      <c r="E6" s="10" t="n"/>
    </row>
    <row r="7">
      <c r="A7" s="10" t="n"/>
      <c r="B7" s="10" t="n"/>
      <c r="C7" s="10" t="n"/>
      <c r="D7" s="10" t="n"/>
      <c r="E7" s="10" t="n"/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3">
      <c r="A23" s="10" t="n"/>
      <c r="B23" s="10" t="n"/>
      <c r="C23" s="10" t="n"/>
      <c r="D23" s="10" t="n"/>
      <c r="E23" s="10" t="n"/>
    </row>
    <row r="24">
      <c r="A24" s="10" t="n"/>
      <c r="B24" s="10" t="n"/>
      <c r="C24" s="10" t="n"/>
      <c r="D24" s="10" t="n"/>
      <c r="E24" s="10" t="n"/>
    </row>
    <row r="25">
      <c r="A25" s="10" t="n"/>
      <c r="B25" s="10" t="n"/>
      <c r="C25" s="10" t="n"/>
      <c r="D25" s="10" t="n"/>
      <c r="E25" s="10" t="n"/>
    </row>
    <row r="26">
      <c r="A26" s="10" t="n"/>
      <c r="B26" s="10" t="n"/>
      <c r="C26" s="10" t="n"/>
      <c r="D26" s="10" t="n"/>
      <c r="E26" s="10" t="n"/>
    </row>
    <row r="27">
      <c r="A27" s="10" t="n"/>
      <c r="B27" s="10" t="n"/>
      <c r="C27" s="10" t="n"/>
      <c r="D27" s="10" t="n"/>
      <c r="E27" s="10" t="n"/>
    </row>
    <row r="28">
      <c r="A28" s="10" t="n"/>
      <c r="B28" s="10" t="n"/>
      <c r="C28" s="10" t="n"/>
      <c r="D28" s="10" t="n"/>
      <c r="E28" s="10" t="n"/>
    </row>
    <row r="29">
      <c r="A29" s="10" t="n"/>
      <c r="B29" s="10" t="n"/>
      <c r="C29" s="10" t="n"/>
      <c r="D29" s="10" t="n"/>
      <c r="E29" s="10" t="n"/>
    </row>
    <row r="30">
      <c r="A30" s="10" t="n"/>
      <c r="B30" s="10" t="n"/>
      <c r="C30" s="10" t="n"/>
      <c r="D30" s="10" t="n"/>
      <c r="E30" s="10" t="n"/>
    </row>
    <row r="31">
      <c r="A31" s="10" t="n"/>
      <c r="B31" s="10" t="n"/>
      <c r="C31" s="10" t="n"/>
      <c r="D31" s="10" t="n"/>
      <c r="E31" s="10" t="n"/>
    </row>
    <row r="32">
      <c r="A32" s="10" t="n"/>
      <c r="B32" s="10" t="n"/>
      <c r="C32" s="10" t="n"/>
      <c r="D32" s="10" t="n"/>
      <c r="E32" s="10" t="n"/>
    </row>
    <row r="33">
      <c r="A33" s="10" t="n"/>
      <c r="B33" s="10" t="n"/>
      <c r="C33" s="10" t="n"/>
      <c r="D33" s="10" t="n"/>
      <c r="E33" s="10" t="n"/>
    </row>
    <row r="34">
      <c r="A34" s="10" t="n"/>
      <c r="B34" s="10" t="n"/>
      <c r="C34" s="10" t="n"/>
      <c r="D34" s="10" t="n"/>
      <c r="E34" s="10" t="n"/>
    </row>
    <row r="35">
      <c r="A35" s="10" t="n"/>
      <c r="B35" s="10" t="n"/>
      <c r="C35" s="10" t="n"/>
      <c r="D35" s="10" t="n"/>
      <c r="E35" s="10" t="n"/>
    </row>
    <row r="36">
      <c r="A36" s="10" t="n"/>
      <c r="B36" s="10" t="n"/>
      <c r="C36" s="10" t="n"/>
      <c r="D36" s="10" t="n"/>
      <c r="E36" s="10" t="n"/>
    </row>
    <row r="37">
      <c r="A37" s="10" t="n"/>
      <c r="B37" s="10" t="n"/>
      <c r="C37" s="10" t="n"/>
      <c r="D37" s="10" t="n"/>
      <c r="E37" s="10" t="n"/>
    </row>
    <row r="38">
      <c r="A38" s="10" t="n"/>
      <c r="B38" s="10" t="n"/>
      <c r="C38" s="10" t="n"/>
      <c r="D38" s="10" t="n"/>
      <c r="E38" s="10" t="n"/>
    </row>
    <row r="39">
      <c r="A39" s="10" t="n"/>
      <c r="B39" s="10" t="n"/>
      <c r="C39" s="10" t="n"/>
      <c r="D39" s="10" t="n"/>
      <c r="E39" s="10" t="n"/>
    </row>
    <row r="40">
      <c r="A40" s="10" t="n"/>
      <c r="B40" s="10" t="n"/>
      <c r="C40" s="10" t="n"/>
      <c r="D40" s="10" t="n"/>
      <c r="E40" s="10" t="n"/>
    </row>
    <row r="41">
      <c r="A41" s="10" t="n"/>
      <c r="B41" s="10" t="n"/>
      <c r="C41" s="10" t="n"/>
      <c r="D41" s="10" t="n"/>
      <c r="E41" s="10" t="n"/>
    </row>
    <row r="42">
      <c r="A42" s="10" t="n"/>
      <c r="B42" s="10" t="n"/>
      <c r="C42" s="10" t="n"/>
      <c r="D42" s="10" t="n"/>
      <c r="E42" s="10" t="n"/>
    </row>
    <row r="43">
      <c r="A43" s="10" t="n"/>
      <c r="B43" s="10" t="n"/>
      <c r="C43" s="10" t="n"/>
      <c r="D43" s="10" t="n"/>
      <c r="E43" s="10" t="n"/>
    </row>
    <row r="44">
      <c r="A44" s="10" t="n"/>
      <c r="B44" s="10" t="n"/>
      <c r="C44" s="10" t="n"/>
      <c r="D44" s="10" t="n"/>
      <c r="E44" s="10" t="n"/>
    </row>
    <row r="45">
      <c r="A45" s="10" t="n"/>
      <c r="B45" s="10" t="n"/>
      <c r="C45" s="10" t="n"/>
      <c r="D45" s="10" t="n"/>
      <c r="E45" s="10" t="n"/>
    </row>
    <row r="46">
      <c r="A46" s="10" t="n"/>
      <c r="B46" s="10" t="n"/>
      <c r="C46" s="10" t="n"/>
      <c r="D46" s="10" t="n"/>
      <c r="E46" s="10" t="n"/>
    </row>
    <row r="47">
      <c r="A47" s="10" t="n"/>
      <c r="B47" s="10" t="n"/>
      <c r="C47" s="10" t="n"/>
      <c r="D47" s="10" t="n"/>
      <c r="E47" s="10" t="n"/>
    </row>
    <row r="48">
      <c r="A48" s="10" t="n"/>
      <c r="B48" s="10" t="n"/>
      <c r="C48" s="10" t="n"/>
      <c r="D48" s="10" t="n"/>
      <c r="E48" s="10" t="n"/>
    </row>
    <row r="49">
      <c r="A49" s="10" t="n"/>
      <c r="B49" s="10" t="n"/>
      <c r="C49" s="10" t="n"/>
      <c r="D49" s="10" t="n"/>
      <c r="E49" s="10" t="n"/>
    </row>
    <row r="50">
      <c r="A50" s="10" t="n"/>
      <c r="B50" s="10" t="n"/>
      <c r="C50" s="10" t="n"/>
      <c r="D50" s="10" t="n"/>
      <c r="E50" s="10" t="n"/>
    </row>
    <row r="51">
      <c r="A51" s="10" t="n"/>
      <c r="B51" s="10" t="n"/>
      <c r="C51" s="10" t="n"/>
      <c r="D51" s="10" t="n"/>
      <c r="E51" s="10" t="n"/>
    </row>
    <row r="52">
      <c r="A52" s="10" t="n"/>
      <c r="B52" s="10" t="n"/>
      <c r="C52" s="10" t="n"/>
      <c r="D52" s="10" t="n"/>
      <c r="E52" s="10" t="n"/>
    </row>
    <row r="53">
      <c r="A53" s="10" t="n"/>
      <c r="B53" s="10" t="n"/>
      <c r="C53" s="10" t="n"/>
      <c r="D53" s="10" t="n"/>
      <c r="E53" s="10" t="n"/>
    </row>
    <row r="54">
      <c r="A54" s="10" t="n"/>
      <c r="B54" s="10" t="n"/>
      <c r="C54" s="10" t="n"/>
      <c r="D54" s="10" t="n"/>
      <c r="E54" s="10" t="n"/>
    </row>
    <row r="55">
      <c r="A55" s="10" t="n"/>
      <c r="B55" s="10" t="n"/>
      <c r="C55" s="10" t="n"/>
      <c r="D55" s="10" t="n"/>
      <c r="E55" s="10" t="n"/>
    </row>
    <row r="56">
      <c r="A56" s="10" t="n"/>
      <c r="B56" s="10" t="n"/>
      <c r="C56" s="10" t="n"/>
      <c r="D56" s="10" t="n"/>
      <c r="E56" s="10" t="n"/>
    </row>
    <row r="57">
      <c r="A57" s="10" t="n"/>
      <c r="B57" s="10" t="n"/>
      <c r="C57" s="10" t="n"/>
      <c r="D57" s="10" t="n"/>
      <c r="E57" s="10" t="n"/>
    </row>
    <row r="58">
      <c r="A58" s="10" t="n"/>
      <c r="B58" s="10" t="n"/>
      <c r="C58" s="10" t="n"/>
      <c r="D58" s="10" t="n"/>
      <c r="E58" s="10" t="n"/>
    </row>
    <row r="59">
      <c r="A59" s="10" t="n"/>
      <c r="B59" s="10" t="n"/>
      <c r="C59" s="10" t="n"/>
      <c r="D59" s="10" t="n"/>
      <c r="E59" s="10" t="n"/>
    </row>
    <row r="60">
      <c r="A60" s="10" t="n"/>
      <c r="B60" s="10" t="n"/>
      <c r="C60" s="10" t="n"/>
      <c r="D60" s="10" t="n"/>
      <c r="E60" s="10" t="n"/>
    </row>
    <row r="61">
      <c r="A61" s="10" t="n"/>
      <c r="B61" s="10" t="n"/>
      <c r="C61" s="10" t="n"/>
      <c r="D61" s="10" t="n"/>
      <c r="E61" s="10" t="n"/>
    </row>
    <row r="62">
      <c r="A62" s="10" t="n"/>
      <c r="B62" s="10" t="n"/>
      <c r="C62" s="10" t="n"/>
      <c r="D62" s="10" t="n"/>
      <c r="E62" s="10" t="n"/>
    </row>
    <row r="63">
      <c r="A63" s="10" t="n"/>
      <c r="B63" s="10" t="n"/>
      <c r="C63" s="10" t="n"/>
      <c r="D63" s="10" t="n"/>
      <c r="E63" s="10" t="n"/>
    </row>
    <row r="64">
      <c r="A64" s="10" t="n"/>
      <c r="B64" s="10" t="n"/>
      <c r="C64" s="10" t="n"/>
      <c r="D64" s="10" t="n"/>
      <c r="E64" s="10" t="n"/>
    </row>
    <row r="65">
      <c r="A65" s="10" t="n"/>
      <c r="B65" s="10" t="n"/>
      <c r="C65" s="10" t="n"/>
      <c r="D65" s="10" t="n"/>
      <c r="E65" s="10" t="n"/>
    </row>
    <row r="66">
      <c r="A66" s="10" t="n"/>
      <c r="B66" s="10" t="n"/>
      <c r="C66" s="10" t="n"/>
      <c r="D66" s="10" t="n"/>
      <c r="E66" s="10" t="n"/>
    </row>
    <row r="67">
      <c r="A67" s="10" t="n"/>
      <c r="B67" s="10" t="n"/>
      <c r="C67" s="10" t="n"/>
      <c r="D67" s="10" t="n"/>
      <c r="E67" s="10" t="n"/>
    </row>
    <row r="68">
      <c r="A68" s="10" t="n"/>
      <c r="B68" s="10" t="n"/>
      <c r="C68" s="10" t="n"/>
      <c r="D68" s="10" t="n"/>
      <c r="E68" s="10" t="n"/>
    </row>
    <row r="69">
      <c r="A69" s="10" t="n"/>
      <c r="B69" s="10" t="n"/>
      <c r="C69" s="10" t="n"/>
      <c r="D69" s="10" t="n"/>
      <c r="E69" s="10" t="n"/>
    </row>
    <row r="70">
      <c r="A70" s="10" t="n"/>
      <c r="B70" s="10" t="n"/>
      <c r="C70" s="10" t="n"/>
      <c r="D70" s="10" t="n"/>
      <c r="E70" s="10" t="n"/>
    </row>
    <row r="71">
      <c r="A71" s="10" t="n"/>
      <c r="B71" s="10" t="n"/>
      <c r="C71" s="10" t="n"/>
      <c r="D71" s="10" t="n"/>
      <c r="E71" s="10" t="n"/>
    </row>
    <row r="72">
      <c r="A72" s="10" t="n"/>
      <c r="B72" s="10" t="n"/>
      <c r="C72" s="10" t="n"/>
      <c r="D72" s="10" t="n"/>
      <c r="E72" s="10" t="n"/>
    </row>
    <row r="73">
      <c r="A73" s="10" t="n"/>
      <c r="B73" s="10" t="n"/>
      <c r="C73" s="10" t="n"/>
      <c r="D73" s="10" t="n"/>
      <c r="E73" s="10" t="n"/>
    </row>
    <row r="74">
      <c r="A74" s="10" t="n"/>
      <c r="B74" s="10" t="n"/>
      <c r="C74" s="10" t="n"/>
      <c r="D74" s="10" t="n"/>
      <c r="E74" s="10" t="n"/>
    </row>
    <row r="75">
      <c r="A75" s="10" t="n"/>
      <c r="B75" s="10" t="n"/>
      <c r="C75" s="10" t="n"/>
      <c r="D75" s="10" t="n"/>
      <c r="E75" s="10" t="n"/>
    </row>
    <row r="76">
      <c r="A76" s="10" t="n"/>
      <c r="B76" s="10" t="n"/>
      <c r="C76" s="10" t="n"/>
      <c r="D76" s="10" t="n"/>
      <c r="E76" s="10" t="n"/>
    </row>
    <row r="77">
      <c r="A77" s="10" t="n"/>
      <c r="B77" s="10" t="n"/>
      <c r="C77" s="10" t="n"/>
      <c r="D77" s="10" t="n"/>
      <c r="E77" s="10" t="n"/>
    </row>
    <row r="78">
      <c r="A78" s="10" t="n"/>
      <c r="B78" s="10" t="n"/>
      <c r="C78" s="10" t="n"/>
      <c r="D78" s="10" t="n"/>
      <c r="E78" s="10" t="n"/>
    </row>
    <row r="79">
      <c r="A79" s="10" t="n"/>
      <c r="B79" s="10" t="n"/>
      <c r="C79" s="10" t="n"/>
      <c r="D79" s="10" t="n"/>
      <c r="E79" s="10" t="n"/>
    </row>
    <row r="80">
      <c r="A80" s="10" t="n"/>
      <c r="B80" s="10" t="n"/>
      <c r="C80" s="10" t="n"/>
      <c r="D80" s="10" t="n"/>
      <c r="E80" s="10" t="n"/>
    </row>
    <row r="81">
      <c r="A81" s="10" t="n"/>
      <c r="B81" s="10" t="n"/>
      <c r="C81" s="10" t="n"/>
      <c r="D81" s="10" t="n"/>
      <c r="E81" s="10" t="n"/>
    </row>
    <row r="82">
      <c r="A82" s="10" t="n"/>
      <c r="B82" s="10" t="n"/>
      <c r="C82" s="10" t="n"/>
      <c r="D82" s="10" t="n"/>
      <c r="E82" s="10" t="n"/>
    </row>
    <row r="83">
      <c r="A83" s="10" t="n"/>
      <c r="B83" s="10" t="n"/>
      <c r="C83" s="10" t="n"/>
      <c r="D83" s="10" t="n"/>
      <c r="E83" s="10" t="n"/>
    </row>
  </sheetData>
  <dataValidations count="2">
    <dataValidation sqref="B4:B83 E4:E83" showDropDown="0" showInputMessage="0" showErrorMessage="0" allowBlank="1" type="list">
      <formula1>"Sim,Não"</formula1>
    </dataValidation>
    <dataValidation sqref="C4:C83" showDropDown="0" showInputMessage="0" showErrorMessage="0" allowBlank="1" type="list">
      <formula1>"P,M,G,XG"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2026-09-28T19:15:33Z</dcterms:created>
  <dcterms:modified xsi:type="dcterms:W3CDTF">2026-09-28T19:15:33Z</dcterms:modified>
</cp:coreProperties>
</file>