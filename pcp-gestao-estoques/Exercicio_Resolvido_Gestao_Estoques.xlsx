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stas" sheetId="1" state="visible" r:id="rId1"/>
    <sheet name="Parâmetros" sheetId="2" state="visible" r:id="rId2"/>
    <sheet name="1 - Qtde Fixa" sheetId="3" state="visible" r:id="rId3"/>
    <sheet name="2 - Período Fix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0.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9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0" customWidth="1" min="3" max="3"/>
  </cols>
  <sheetData>
    <row r="1">
      <c r="A1" s="1" t="inlineStr">
        <is>
          <t>RESPOSTAS DO EXERCÍCIO (nível de serviço 95%)</t>
        </is>
      </c>
    </row>
    <row r="3">
      <c r="A3" s="2" t="inlineStr">
        <is>
          <t>Método 1 – Ponto de Pedido / Quantidade Fixa de Encomenda</t>
        </is>
      </c>
    </row>
    <row r="4">
      <c r="A4" s="3" t="inlineStr">
        <is>
          <t>Ponto de Pedido</t>
        </is>
      </c>
      <c r="B4" s="3">
        <f>'1 - Qtde Fixa'!B33</f>
        <v/>
      </c>
      <c r="C4" s="3" t="inlineStr">
        <is>
          <t>cocos</t>
        </is>
      </c>
    </row>
    <row r="5">
      <c r="A5" s="3" t="inlineStr">
        <is>
          <t>Quantidade do Lote (Lote Econômico Q0)</t>
        </is>
      </c>
      <c r="B5" s="3">
        <f>'1 - Qtde Fixa'!B6</f>
        <v/>
      </c>
      <c r="C5" s="3" t="inlineStr">
        <is>
          <t>cocos</t>
        </is>
      </c>
    </row>
    <row r="6">
      <c r="A6" s="3" t="inlineStr">
        <is>
          <t>Estoque de Segurança</t>
        </is>
      </c>
      <c r="B6" s="3">
        <f>'1 - Qtde Fixa'!C33</f>
        <v/>
      </c>
      <c r="C6" s="3" t="inlineStr">
        <is>
          <t>cocos</t>
        </is>
      </c>
    </row>
    <row r="8">
      <c r="A8" s="2" t="inlineStr">
        <is>
          <t>Método 2 – Estoque Máximo / Período Fixo de Encomenda</t>
        </is>
      </c>
    </row>
    <row r="9">
      <c r="A9" s="3" t="inlineStr">
        <is>
          <t>Estoque Máximo</t>
        </is>
      </c>
      <c r="B9" s="3">
        <f>'2 - Período Fixo'!B42</f>
        <v/>
      </c>
      <c r="C9" s="3" t="inlineStr">
        <is>
          <t>cocos</t>
        </is>
      </c>
    </row>
    <row r="10">
      <c r="A10" s="3" t="inlineStr">
        <is>
          <t>Período Fixo de Encomenda</t>
        </is>
      </c>
      <c r="B10" s="3">
        <f>'2 - Período Fixo'!B5</f>
        <v/>
      </c>
      <c r="C10" s="3" t="inlineStr">
        <is>
          <t>dias</t>
        </is>
      </c>
    </row>
    <row r="11">
      <c r="A11" s="3" t="inlineStr">
        <is>
          <t>Estoque de Segurança</t>
        </is>
      </c>
      <c r="B11" s="3">
        <f>'2 - Período Fixo'!C42</f>
        <v/>
      </c>
      <c r="C11" s="3" t="inlineStr">
        <is>
          <t>cocos</t>
        </is>
      </c>
    </row>
    <row r="14">
      <c r="A14" t="inlineStr">
        <is>
          <t>Método 1: sempre que o estoque (físico + a receber) chegar a 180, pedir 122 cocos.</t>
        </is>
      </c>
    </row>
    <row r="15">
      <c r="A15" t="inlineStr">
        <is>
          <t>Método 2: a cada 2 dias, pedir 350 − saldo físico − compras a receber.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1" t="inlineStr">
        <is>
          <t>Parâmetros do exercício (slide 61)</t>
        </is>
      </c>
    </row>
    <row r="3">
      <c r="A3" t="inlineStr">
        <is>
          <t>Custo de frete por encomenda (Ce)</t>
        </is>
      </c>
      <c r="B3" s="4" t="n">
        <v>15</v>
      </c>
      <c r="C3" t="inlineStr">
        <is>
          <t>R$</t>
        </is>
      </c>
    </row>
    <row r="4">
      <c r="A4" t="inlineStr">
        <is>
          <t>Custo de manter 1 unidade por dia (I)</t>
        </is>
      </c>
      <c r="B4" s="4" t="n">
        <v>0.15</v>
      </c>
      <c r="C4" t="inlineStr">
        <is>
          <t>R$/un/dia</t>
        </is>
      </c>
    </row>
    <row r="5">
      <c r="A5" t="inlineStr">
        <is>
          <t>Demanda média diária (D)</t>
        </is>
      </c>
      <c r="B5" s="4" t="n">
        <v>75</v>
      </c>
      <c r="C5" t="inlineStr">
        <is>
          <t>un/dia</t>
        </is>
      </c>
    </row>
    <row r="6">
      <c r="A6" t="inlineStr">
        <is>
          <t>Demanda máxima diária</t>
        </is>
      </c>
      <c r="B6" s="4" t="n">
        <v>100</v>
      </c>
      <c r="C6" t="inlineStr">
        <is>
          <t>un/dia</t>
        </is>
      </c>
    </row>
    <row r="7">
      <c r="A7" t="inlineStr">
        <is>
          <t>Demanda mínima diária</t>
        </is>
      </c>
      <c r="B7" s="4" t="n">
        <v>51</v>
      </c>
      <c r="C7" t="inlineStr">
        <is>
          <t>un/dia</t>
        </is>
      </c>
    </row>
    <row r="8">
      <c r="A8" t="inlineStr">
        <is>
          <t>Tempo médio de reposição (TR)</t>
        </is>
      </c>
      <c r="B8" s="4" t="n">
        <v>1.7</v>
      </c>
      <c r="C8" t="inlineStr">
        <is>
          <t>dias</t>
        </is>
      </c>
    </row>
    <row r="9">
      <c r="A9" t="inlineStr">
        <is>
          <t>Tempo de reposição máximo</t>
        </is>
      </c>
      <c r="B9" s="4" t="n">
        <v>2</v>
      </c>
      <c r="C9" t="inlineStr">
        <is>
          <t>dias</t>
        </is>
      </c>
    </row>
    <row r="10">
      <c r="A10" t="inlineStr">
        <is>
          <t>Tempo de reposição mínimo</t>
        </is>
      </c>
      <c r="B10" s="4" t="n">
        <v>1</v>
      </c>
      <c r="C10" t="inlineStr">
        <is>
          <t>dias</t>
        </is>
      </c>
    </row>
    <row r="11">
      <c r="A11" t="inlineStr">
        <is>
          <t>Dias no mês</t>
        </is>
      </c>
      <c r="B11" s="4" t="n">
        <v>30</v>
      </c>
      <c r="C11" t="inlineStr">
        <is>
          <t>dias</t>
        </is>
      </c>
    </row>
    <row r="12">
      <c r="A12" t="inlineStr">
        <is>
          <t>Nível de serviço desejado</t>
        </is>
      </c>
      <c r="B12" s="5" t="n">
        <v>0.95</v>
      </c>
      <c r="C12" t="inlineStr"/>
    </row>
    <row r="14">
      <c r="A14" t="inlineStr">
        <is>
          <t>Demanda média no tempo de reposição</t>
        </is>
      </c>
      <c r="B14">
        <f>B5*B8</f>
        <v/>
      </c>
      <c r="C14" t="inlineStr">
        <is>
          <t>un</t>
        </is>
      </c>
    </row>
    <row r="15">
      <c r="A15" t="inlineStr">
        <is>
          <t>Demanda máxima no tempo de reposição</t>
        </is>
      </c>
      <c r="B15">
        <f>B6*B9</f>
        <v/>
      </c>
      <c r="C15" t="inlineStr">
        <is>
          <t>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MÉTODO 1 – Ponto de Pedido / Quantidade Fixa de Encomenda</t>
        </is>
      </c>
    </row>
    <row r="3">
      <c r="A3" s="6" t="inlineStr">
        <is>
          <t>PASSO 1 – Lote Econômico (Q0)</t>
        </is>
      </c>
    </row>
    <row r="4">
      <c r="A4" t="inlineStr">
        <is>
          <t>Q0 = raiz(2 × D × Ce / I)</t>
        </is>
      </c>
    </row>
    <row r="5">
      <c r="A5" t="inlineStr">
        <is>
          <t>Q0 calculado</t>
        </is>
      </c>
      <c r="B5" s="7">
        <f>SQRT(2*'Parâmetros'!B5*'Parâmetros'!B3/'Parâmetros'!B4)</f>
        <v/>
      </c>
    </row>
    <row r="6">
      <c r="A6" s="3" t="inlineStr">
        <is>
          <t>Q0 adotado (arredondado)</t>
        </is>
      </c>
      <c r="B6" s="3">
        <f>ROUND(B5,0)</f>
        <v/>
      </c>
    </row>
    <row r="7">
      <c r="A7" t="inlineStr">
        <is>
          <t>Custo mensal de armazenar estoque de ciclo = Q/2 × I × 30</t>
        </is>
      </c>
      <c r="B7" s="8">
        <f>B6/2*'Parâmetros'!B4*'Parâmetros'!B11</f>
        <v/>
      </c>
    </row>
    <row r="8">
      <c r="A8" t="inlineStr">
        <is>
          <t>Custo mensal de encomendar = (D × 30 / Q) × Ce</t>
        </is>
      </c>
      <c r="B8" s="8">
        <f>'Parâmetros'!B5*'Parâmetros'!B11/B6*'Parâmetros'!B3</f>
        <v/>
      </c>
    </row>
    <row r="9">
      <c r="A9" t="inlineStr">
        <is>
          <t>Custo mensal total</t>
        </is>
      </c>
      <c r="B9" s="8">
        <f>B7+B8</f>
        <v/>
      </c>
    </row>
    <row r="11">
      <c r="A11" s="6" t="inlineStr">
        <is>
          <t>PASSO 2 – Distribuição da demanda no tempo de reposição (100 sorteios da aba Planilha1 do professor)</t>
        </is>
      </c>
    </row>
    <row r="12">
      <c r="A12" s="2" t="inlineStr">
        <is>
          <t>Classe de</t>
        </is>
      </c>
      <c r="B12" s="2" t="inlineStr">
        <is>
          <t>até</t>
        </is>
      </c>
      <c r="C12" s="2" t="inlineStr">
        <is>
          <t>Frequência</t>
        </is>
      </c>
      <c r="D12" s="2" t="inlineStr">
        <is>
          <t>Prob. (%)</t>
        </is>
      </c>
      <c r="E12" s="2" t="inlineStr">
        <is>
          <t>Freq. acum.</t>
        </is>
      </c>
      <c r="F12" s="2" t="inlineStr">
        <is>
          <t>Prob. acum. (%)</t>
        </is>
      </c>
      <c r="G12" s="2" t="inlineStr">
        <is>
          <t>TR sorteado</t>
        </is>
      </c>
      <c r="H12" s="2" t="inlineStr">
        <is>
          <t>Demanda dia 1</t>
        </is>
      </c>
      <c r="I12" s="2" t="inlineStr">
        <is>
          <t>Demanda dia 2</t>
        </is>
      </c>
      <c r="J12" s="2" t="inlineStr">
        <is>
          <t>Demanda no TR</t>
        </is>
      </c>
    </row>
    <row r="13">
      <c r="A13" t="n">
        <v>51</v>
      </c>
      <c r="B13" t="n">
        <v>60</v>
      </c>
      <c r="C13">
        <f>COUNTIFS($J$13:$J$112,"&gt;="&amp;A13,$J$13:$J$112,"&lt;="&amp;B13)</f>
        <v/>
      </c>
      <c r="D13" s="9">
        <f>C13/COUNT($J$13:$J$112)</f>
        <v/>
      </c>
      <c r="E13">
        <f>SUM($C$13:C13)</f>
        <v/>
      </c>
      <c r="F13" s="9">
        <f>E13/COUNT($J$13:$J$112)</f>
        <v/>
      </c>
      <c r="G13" t="n">
        <v>1</v>
      </c>
      <c r="H13" t="n">
        <v>51</v>
      </c>
      <c r="J13">
        <f>H13+N(I13)</f>
        <v/>
      </c>
    </row>
    <row r="14">
      <c r="A14" t="n">
        <v>61</v>
      </c>
      <c r="B14" t="n">
        <v>70</v>
      </c>
      <c r="C14">
        <f>COUNTIFS($J$13:$J$112,"&gt;="&amp;A14,$J$13:$J$112,"&lt;="&amp;B14)</f>
        <v/>
      </c>
      <c r="D14" s="9">
        <f>C14/COUNT($J$13:$J$112)</f>
        <v/>
      </c>
      <c r="E14">
        <f>SUM($C$13:C14)</f>
        <v/>
      </c>
      <c r="F14" s="9">
        <f>E14/COUNT($J$13:$J$112)</f>
        <v/>
      </c>
      <c r="G14" t="n">
        <v>1</v>
      </c>
      <c r="H14" t="n">
        <v>52</v>
      </c>
      <c r="J14">
        <f>H14+N(I14)</f>
        <v/>
      </c>
    </row>
    <row r="15">
      <c r="A15" t="n">
        <v>71</v>
      </c>
      <c r="B15" t="n">
        <v>80</v>
      </c>
      <c r="C15">
        <f>COUNTIFS($J$13:$J$112,"&gt;="&amp;A15,$J$13:$J$112,"&lt;="&amp;B15)</f>
        <v/>
      </c>
      <c r="D15" s="9">
        <f>C15/COUNT($J$13:$J$112)</f>
        <v/>
      </c>
      <c r="E15">
        <f>SUM($C$13:C15)</f>
        <v/>
      </c>
      <c r="F15" s="9">
        <f>E15/COUNT($J$13:$J$112)</f>
        <v/>
      </c>
      <c r="G15" t="n">
        <v>1</v>
      </c>
      <c r="H15" t="n">
        <v>52</v>
      </c>
      <c r="J15">
        <f>H15+N(I15)</f>
        <v/>
      </c>
    </row>
    <row r="16">
      <c r="A16" t="n">
        <v>81</v>
      </c>
      <c r="B16" t="n">
        <v>90</v>
      </c>
      <c r="C16">
        <f>COUNTIFS($J$13:$J$112,"&gt;="&amp;A16,$J$13:$J$112,"&lt;="&amp;B16)</f>
        <v/>
      </c>
      <c r="D16" s="9">
        <f>C16/COUNT($J$13:$J$112)</f>
        <v/>
      </c>
      <c r="E16">
        <f>SUM($C$13:C16)</f>
        <v/>
      </c>
      <c r="F16" s="9">
        <f>E16/COUNT($J$13:$J$112)</f>
        <v/>
      </c>
      <c r="G16" t="n">
        <v>1</v>
      </c>
      <c r="H16" t="n">
        <v>52</v>
      </c>
      <c r="J16">
        <f>H16+N(I16)</f>
        <v/>
      </c>
    </row>
    <row r="17">
      <c r="A17" t="n">
        <v>91</v>
      </c>
      <c r="B17" t="n">
        <v>100</v>
      </c>
      <c r="C17">
        <f>COUNTIFS($J$13:$J$112,"&gt;="&amp;A17,$J$13:$J$112,"&lt;="&amp;B17)</f>
        <v/>
      </c>
      <c r="D17" s="9">
        <f>C17/COUNT($J$13:$J$112)</f>
        <v/>
      </c>
      <c r="E17">
        <f>SUM($C$13:C17)</f>
        <v/>
      </c>
      <c r="F17" s="9">
        <f>E17/COUNT($J$13:$J$112)</f>
        <v/>
      </c>
      <c r="G17" t="n">
        <v>1</v>
      </c>
      <c r="H17" t="n">
        <v>54</v>
      </c>
      <c r="J17">
        <f>H17+N(I17)</f>
        <v/>
      </c>
    </row>
    <row r="18">
      <c r="A18" t="n">
        <v>101</v>
      </c>
      <c r="B18" t="n">
        <v>110</v>
      </c>
      <c r="C18">
        <f>COUNTIFS($J$13:$J$112,"&gt;="&amp;A18,$J$13:$J$112,"&lt;="&amp;B18)</f>
        <v/>
      </c>
      <c r="D18" s="9">
        <f>C18/COUNT($J$13:$J$112)</f>
        <v/>
      </c>
      <c r="E18">
        <f>SUM($C$13:C18)</f>
        <v/>
      </c>
      <c r="F18" s="9">
        <f>E18/COUNT($J$13:$J$112)</f>
        <v/>
      </c>
      <c r="G18" t="n">
        <v>1</v>
      </c>
      <c r="H18" t="n">
        <v>54</v>
      </c>
      <c r="J18">
        <f>H18+N(I18)</f>
        <v/>
      </c>
    </row>
    <row r="19">
      <c r="A19" t="n">
        <v>111</v>
      </c>
      <c r="B19" t="n">
        <v>120</v>
      </c>
      <c r="C19">
        <f>COUNTIFS($J$13:$J$112,"&gt;="&amp;A19,$J$13:$J$112,"&lt;="&amp;B19)</f>
        <v/>
      </c>
      <c r="D19" s="9">
        <f>C19/COUNT($J$13:$J$112)</f>
        <v/>
      </c>
      <c r="E19">
        <f>SUM($C$13:C19)</f>
        <v/>
      </c>
      <c r="F19" s="9">
        <f>E19/COUNT($J$13:$J$112)</f>
        <v/>
      </c>
      <c r="G19" t="n">
        <v>1</v>
      </c>
      <c r="H19" t="n">
        <v>57</v>
      </c>
      <c r="J19">
        <f>H19+N(I19)</f>
        <v/>
      </c>
    </row>
    <row r="20">
      <c r="A20" t="n">
        <v>121</v>
      </c>
      <c r="B20" t="n">
        <v>130</v>
      </c>
      <c r="C20">
        <f>COUNTIFS($J$13:$J$112,"&gt;="&amp;A20,$J$13:$J$112,"&lt;="&amp;B20)</f>
        <v/>
      </c>
      <c r="D20" s="9">
        <f>C20/COUNT($J$13:$J$112)</f>
        <v/>
      </c>
      <c r="E20">
        <f>SUM($C$13:C20)</f>
        <v/>
      </c>
      <c r="F20" s="9">
        <f>E20/COUNT($J$13:$J$112)</f>
        <v/>
      </c>
      <c r="G20" t="n">
        <v>1</v>
      </c>
      <c r="H20" t="n">
        <v>57</v>
      </c>
      <c r="J20">
        <f>H20+N(I20)</f>
        <v/>
      </c>
    </row>
    <row r="21">
      <c r="A21" t="n">
        <v>131</v>
      </c>
      <c r="B21" t="n">
        <v>140</v>
      </c>
      <c r="C21">
        <f>COUNTIFS($J$13:$J$112,"&gt;="&amp;A21,$J$13:$J$112,"&lt;="&amp;B21)</f>
        <v/>
      </c>
      <c r="D21" s="9">
        <f>C21/COUNT($J$13:$J$112)</f>
        <v/>
      </c>
      <c r="E21">
        <f>SUM($C$13:C21)</f>
        <v/>
      </c>
      <c r="F21" s="9">
        <f>E21/COUNT($J$13:$J$112)</f>
        <v/>
      </c>
      <c r="G21" t="n">
        <v>1</v>
      </c>
      <c r="H21" t="n">
        <v>57</v>
      </c>
      <c r="J21">
        <f>H21+N(I21)</f>
        <v/>
      </c>
    </row>
    <row r="22">
      <c r="A22" t="n">
        <v>141</v>
      </c>
      <c r="B22" t="n">
        <v>150</v>
      </c>
      <c r="C22">
        <f>COUNTIFS($J$13:$J$112,"&gt;="&amp;A22,$J$13:$J$112,"&lt;="&amp;B22)</f>
        <v/>
      </c>
      <c r="D22" s="9">
        <f>C22/COUNT($J$13:$J$112)</f>
        <v/>
      </c>
      <c r="E22">
        <f>SUM($C$13:C22)</f>
        <v/>
      </c>
      <c r="F22" s="9">
        <f>E22/COUNT($J$13:$J$112)</f>
        <v/>
      </c>
      <c r="G22" t="n">
        <v>1</v>
      </c>
      <c r="H22" t="n">
        <v>58</v>
      </c>
      <c r="J22">
        <f>H22+N(I22)</f>
        <v/>
      </c>
    </row>
    <row r="23">
      <c r="A23" t="n">
        <v>151</v>
      </c>
      <c r="B23" t="n">
        <v>160</v>
      </c>
      <c r="C23">
        <f>COUNTIFS($J$13:$J$112,"&gt;="&amp;A23,$J$13:$J$112,"&lt;="&amp;B23)</f>
        <v/>
      </c>
      <c r="D23" s="9">
        <f>C23/COUNT($J$13:$J$112)</f>
        <v/>
      </c>
      <c r="E23">
        <f>SUM($C$13:C23)</f>
        <v/>
      </c>
      <c r="F23" s="9">
        <f>E23/COUNT($J$13:$J$112)</f>
        <v/>
      </c>
      <c r="G23" t="n">
        <v>1</v>
      </c>
      <c r="H23" t="n">
        <v>58</v>
      </c>
      <c r="J23">
        <f>H23+N(I23)</f>
        <v/>
      </c>
    </row>
    <row r="24">
      <c r="A24" t="n">
        <v>161</v>
      </c>
      <c r="B24" t="n">
        <v>170</v>
      </c>
      <c r="C24">
        <f>COUNTIFS($J$13:$J$112,"&gt;="&amp;A24,$J$13:$J$112,"&lt;="&amp;B24)</f>
        <v/>
      </c>
      <c r="D24" s="9">
        <f>C24/COUNT($J$13:$J$112)</f>
        <v/>
      </c>
      <c r="E24">
        <f>SUM($C$13:C24)</f>
        <v/>
      </c>
      <c r="F24" s="9">
        <f>E24/COUNT($J$13:$J$112)</f>
        <v/>
      </c>
      <c r="G24" t="n">
        <v>1</v>
      </c>
      <c r="H24" t="n">
        <v>61</v>
      </c>
      <c r="J24">
        <f>H24+N(I24)</f>
        <v/>
      </c>
    </row>
    <row r="25">
      <c r="A25" t="n">
        <v>171</v>
      </c>
      <c r="B25" t="n">
        <v>180</v>
      </c>
      <c r="C25">
        <f>COUNTIFS($J$13:$J$112,"&gt;="&amp;A25,$J$13:$J$112,"&lt;="&amp;B25)</f>
        <v/>
      </c>
      <c r="D25" s="9">
        <f>C25/COUNT($J$13:$J$112)</f>
        <v/>
      </c>
      <c r="E25">
        <f>SUM($C$13:C25)</f>
        <v/>
      </c>
      <c r="F25" s="9">
        <f>E25/COUNT($J$13:$J$112)</f>
        <v/>
      </c>
      <c r="G25" t="n">
        <v>1</v>
      </c>
      <c r="H25" t="n">
        <v>62</v>
      </c>
      <c r="J25">
        <f>H25+N(I25)</f>
        <v/>
      </c>
    </row>
    <row r="26">
      <c r="A26" t="n">
        <v>181</v>
      </c>
      <c r="B26" t="n">
        <v>190</v>
      </c>
      <c r="C26">
        <f>COUNTIFS($J$13:$J$112,"&gt;="&amp;A26,$J$13:$J$112,"&lt;="&amp;B26)</f>
        <v/>
      </c>
      <c r="D26" s="9">
        <f>C26/COUNT($J$13:$J$112)</f>
        <v/>
      </c>
      <c r="E26">
        <f>SUM($C$13:C26)</f>
        <v/>
      </c>
      <c r="F26" s="9">
        <f>E26/COUNT($J$13:$J$112)</f>
        <v/>
      </c>
      <c r="G26" t="n">
        <v>1</v>
      </c>
      <c r="H26" t="n">
        <v>63</v>
      </c>
      <c r="J26">
        <f>H26+N(I26)</f>
        <v/>
      </c>
    </row>
    <row r="27">
      <c r="A27" t="n">
        <v>191</v>
      </c>
      <c r="B27" t="n">
        <v>200</v>
      </c>
      <c r="C27">
        <f>COUNTIFS($J$13:$J$112,"&gt;="&amp;A27,$J$13:$J$112,"&lt;="&amp;B27)</f>
        <v/>
      </c>
      <c r="D27" s="9">
        <f>C27/COUNT($J$13:$J$112)</f>
        <v/>
      </c>
      <c r="E27">
        <f>SUM($C$13:C27)</f>
        <v/>
      </c>
      <c r="F27" s="9">
        <f>E27/COUNT($J$13:$J$112)</f>
        <v/>
      </c>
      <c r="G27" t="n">
        <v>1</v>
      </c>
      <c r="H27" t="n">
        <v>64</v>
      </c>
      <c r="J27">
        <f>H27+N(I27)</f>
        <v/>
      </c>
    </row>
    <row r="28">
      <c r="G28" t="n">
        <v>1</v>
      </c>
      <c r="H28" t="n">
        <v>65</v>
      </c>
      <c r="J28">
        <f>H28+N(I28)</f>
        <v/>
      </c>
    </row>
    <row r="29">
      <c r="A29" s="6" t="inlineStr">
        <is>
          <t>PASSO 3 – Ponto de Pedido e Estoque de Segurança</t>
        </is>
      </c>
      <c r="G29" t="n">
        <v>1</v>
      </c>
      <c r="H29" t="n">
        <v>67</v>
      </c>
      <c r="J29">
        <f>H29+N(I29)</f>
        <v/>
      </c>
    </row>
    <row r="30">
      <c r="A30" t="inlineStr">
        <is>
          <t>Demanda média no TR = D × TR médio</t>
        </is>
      </c>
      <c r="B30">
        <f>'Parâmetros'!B14</f>
        <v/>
      </c>
      <c r="G30" t="n">
        <v>1</v>
      </c>
      <c r="H30" t="n">
        <v>68</v>
      </c>
      <c r="J30">
        <f>H30+N(I30)</f>
        <v/>
      </c>
    </row>
    <row r="31">
      <c r="A31" s="2" t="inlineStr">
        <is>
          <t>Nível de serviço</t>
        </is>
      </c>
      <c r="B31" s="2" t="inlineStr">
        <is>
          <t>Ponto de Pedido</t>
        </is>
      </c>
      <c r="C31" s="2" t="inlineStr">
        <is>
          <t>Estoque de Segurança</t>
        </is>
      </c>
      <c r="D31" s="2" t="inlineStr">
        <is>
          <t>Custo mensal do ES (R$)</t>
        </is>
      </c>
      <c r="G31" t="n">
        <v>1</v>
      </c>
      <c r="H31" t="n">
        <v>69</v>
      </c>
      <c r="J31">
        <f>H31+N(I31)</f>
        <v/>
      </c>
    </row>
    <row r="32">
      <c r="A32" s="10" t="n">
        <v>1</v>
      </c>
      <c r="B32">
        <f>INDEX($B$13:$B$27,MATCH(TRUE,INDEX($F$13:$F$27&gt;=1-1E-9,0),0))</f>
        <v/>
      </c>
      <c r="C32">
        <f>B32-$B$30</f>
        <v/>
      </c>
      <c r="D32" s="7">
        <f>C32*'Parâmetros'!$B$4*'Parâmetros'!$B$11</f>
        <v/>
      </c>
      <c r="G32" t="n">
        <v>1</v>
      </c>
      <c r="H32" t="n">
        <v>73</v>
      </c>
      <c r="J32">
        <f>H32+N(I32)</f>
        <v/>
      </c>
    </row>
    <row r="33">
      <c r="A33" s="11" t="n">
        <v>0.95</v>
      </c>
      <c r="B33" s="3">
        <f>INDEX($B$13:$B$27,MATCH(TRUE,INDEX($F$13:$F$27&gt;=0.95-1E-9,0),0))</f>
        <v/>
      </c>
      <c r="C33" s="3">
        <f>B33-$B$30</f>
        <v/>
      </c>
      <c r="D33" s="12">
        <f>C33*'Parâmetros'!$B$4*'Parâmetros'!$B$11</f>
        <v/>
      </c>
      <c r="G33" t="n">
        <v>1</v>
      </c>
      <c r="H33" t="n">
        <v>74</v>
      </c>
      <c r="J33">
        <f>H33+N(I33)</f>
        <v/>
      </c>
    </row>
    <row r="34">
      <c r="A34" s="10" t="n">
        <v>0.9</v>
      </c>
      <c r="B34">
        <f>INDEX($B$13:$B$27,MATCH(TRUE,INDEX($F$13:$F$27&gt;=0.9-1E-9,0),0))</f>
        <v/>
      </c>
      <c r="C34">
        <f>B34-$B$30</f>
        <v/>
      </c>
      <c r="D34" s="7">
        <f>C34*'Parâmetros'!$B$4*'Parâmetros'!$B$11</f>
        <v/>
      </c>
      <c r="G34" t="n">
        <v>1</v>
      </c>
      <c r="H34" t="n">
        <v>78</v>
      </c>
      <c r="J34">
        <f>H34+N(I34)</f>
        <v/>
      </c>
    </row>
    <row r="35">
      <c r="G35" t="n">
        <v>1</v>
      </c>
      <c r="H35" t="n">
        <v>78</v>
      </c>
      <c r="J35">
        <f>H35+N(I35)</f>
        <v/>
      </c>
    </row>
    <row r="36">
      <c r="A36" s="6" t="inlineStr">
        <is>
          <t>RESPOSTA: pedir 122 cocos sempre que o estoque providenciado (físico + a receber) chegar a 180 cocos (ES = 52,5).</t>
        </is>
      </c>
      <c r="G36" t="n">
        <v>1</v>
      </c>
      <c r="H36" t="n">
        <v>78</v>
      </c>
      <c r="J36">
        <f>H36+N(I36)</f>
        <v/>
      </c>
    </row>
    <row r="37">
      <c r="G37" t="n">
        <v>1</v>
      </c>
      <c r="H37" t="n">
        <v>81</v>
      </c>
      <c r="J37">
        <f>H37+N(I37)</f>
        <v/>
      </c>
    </row>
    <row r="38">
      <c r="G38" t="n">
        <v>1</v>
      </c>
      <c r="H38" t="n">
        <v>83</v>
      </c>
      <c r="J38">
        <f>H38+N(I38)</f>
        <v/>
      </c>
    </row>
    <row r="39">
      <c r="G39" t="n">
        <v>1</v>
      </c>
      <c r="H39" t="n">
        <v>83</v>
      </c>
      <c r="J39">
        <f>H39+N(I39)</f>
        <v/>
      </c>
    </row>
    <row r="40">
      <c r="G40" t="n">
        <v>1</v>
      </c>
      <c r="H40" t="n">
        <v>85</v>
      </c>
      <c r="J40">
        <f>H40+N(I40)</f>
        <v/>
      </c>
    </row>
    <row r="41">
      <c r="G41" t="n">
        <v>1</v>
      </c>
      <c r="H41" t="n">
        <v>87</v>
      </c>
      <c r="J41">
        <f>H41+N(I41)</f>
        <v/>
      </c>
    </row>
    <row r="42">
      <c r="G42" t="n">
        <v>1</v>
      </c>
      <c r="H42" t="n">
        <v>88</v>
      </c>
      <c r="J42">
        <f>H42+N(I42)</f>
        <v/>
      </c>
    </row>
    <row r="43">
      <c r="G43" t="n">
        <v>1</v>
      </c>
      <c r="H43" t="n">
        <v>88</v>
      </c>
      <c r="J43">
        <f>H43+N(I43)</f>
        <v/>
      </c>
    </row>
    <row r="44">
      <c r="G44" t="n">
        <v>1</v>
      </c>
      <c r="H44" t="n">
        <v>88</v>
      </c>
      <c r="J44">
        <f>H44+N(I44)</f>
        <v/>
      </c>
    </row>
    <row r="45">
      <c r="G45" t="n">
        <v>1</v>
      </c>
      <c r="H45" t="n">
        <v>89</v>
      </c>
      <c r="J45">
        <f>H45+N(I45)</f>
        <v/>
      </c>
    </row>
    <row r="46">
      <c r="G46" t="n">
        <v>1</v>
      </c>
      <c r="H46" t="n">
        <v>89</v>
      </c>
      <c r="J46">
        <f>H46+N(I46)</f>
        <v/>
      </c>
    </row>
    <row r="47">
      <c r="G47" t="n">
        <v>1</v>
      </c>
      <c r="H47" t="n">
        <v>89</v>
      </c>
      <c r="J47">
        <f>H47+N(I47)</f>
        <v/>
      </c>
    </row>
    <row r="48">
      <c r="G48" t="n">
        <v>1</v>
      </c>
      <c r="H48" t="n">
        <v>90</v>
      </c>
      <c r="J48">
        <f>H48+N(I48)</f>
        <v/>
      </c>
    </row>
    <row r="49">
      <c r="G49" t="n">
        <v>1</v>
      </c>
      <c r="H49" t="n">
        <v>91</v>
      </c>
      <c r="J49">
        <f>H49+N(I49)</f>
        <v/>
      </c>
    </row>
    <row r="50">
      <c r="G50" t="n">
        <v>1</v>
      </c>
      <c r="H50" t="n">
        <v>92</v>
      </c>
      <c r="J50">
        <f>H50+N(I50)</f>
        <v/>
      </c>
    </row>
    <row r="51">
      <c r="G51" t="n">
        <v>1</v>
      </c>
      <c r="H51" t="n">
        <v>92</v>
      </c>
      <c r="J51">
        <f>H51+N(I51)</f>
        <v/>
      </c>
    </row>
    <row r="52">
      <c r="G52" t="n">
        <v>1</v>
      </c>
      <c r="H52" t="n">
        <v>92</v>
      </c>
      <c r="J52">
        <f>H52+N(I52)</f>
        <v/>
      </c>
    </row>
    <row r="53">
      <c r="G53" t="n">
        <v>1</v>
      </c>
      <c r="H53" t="n">
        <v>92</v>
      </c>
      <c r="J53">
        <f>H53+N(I53)</f>
        <v/>
      </c>
    </row>
    <row r="54">
      <c r="G54" t="n">
        <v>1</v>
      </c>
      <c r="H54" t="n">
        <v>93</v>
      </c>
      <c r="J54">
        <f>H54+N(I54)</f>
        <v/>
      </c>
    </row>
    <row r="55">
      <c r="G55" t="n">
        <v>1</v>
      </c>
      <c r="H55" t="n">
        <v>96</v>
      </c>
      <c r="J55">
        <f>H55+N(I55)</f>
        <v/>
      </c>
    </row>
    <row r="56">
      <c r="G56" t="n">
        <v>1</v>
      </c>
      <c r="H56" t="n">
        <v>96</v>
      </c>
      <c r="J56">
        <f>H56+N(I56)</f>
        <v/>
      </c>
    </row>
    <row r="57">
      <c r="G57" t="n">
        <v>1</v>
      </c>
      <c r="H57" t="n">
        <v>96</v>
      </c>
      <c r="J57">
        <f>H57+N(I57)</f>
        <v/>
      </c>
    </row>
    <row r="58">
      <c r="G58" t="n">
        <v>1</v>
      </c>
      <c r="H58" t="n">
        <v>97</v>
      </c>
      <c r="J58">
        <f>H58+N(I58)</f>
        <v/>
      </c>
    </row>
    <row r="59">
      <c r="G59" t="n">
        <v>1</v>
      </c>
      <c r="H59" t="n">
        <v>98</v>
      </c>
      <c r="J59">
        <f>H59+N(I59)</f>
        <v/>
      </c>
    </row>
    <row r="60">
      <c r="G60" t="n">
        <v>1</v>
      </c>
      <c r="H60" t="n">
        <v>98</v>
      </c>
      <c r="J60">
        <f>H60+N(I60)</f>
        <v/>
      </c>
    </row>
    <row r="61">
      <c r="G61" t="n">
        <v>1</v>
      </c>
      <c r="H61" t="n">
        <v>100</v>
      </c>
      <c r="J61">
        <f>H61+N(I61)</f>
        <v/>
      </c>
    </row>
    <row r="62">
      <c r="G62" t="n">
        <v>2</v>
      </c>
      <c r="H62" t="n">
        <v>56</v>
      </c>
      <c r="I62" t="n">
        <v>53</v>
      </c>
      <c r="J62">
        <f>H62+N(I62)</f>
        <v/>
      </c>
    </row>
    <row r="63">
      <c r="G63" t="n">
        <v>2</v>
      </c>
      <c r="H63" t="n">
        <v>51</v>
      </c>
      <c r="I63" t="n">
        <v>61</v>
      </c>
      <c r="J63">
        <f>H63+N(I63)</f>
        <v/>
      </c>
    </row>
    <row r="64">
      <c r="G64" t="n">
        <v>2</v>
      </c>
      <c r="H64" t="n">
        <v>56</v>
      </c>
      <c r="I64" t="n">
        <v>59</v>
      </c>
      <c r="J64">
        <f>H64+N(I64)</f>
        <v/>
      </c>
    </row>
    <row r="65">
      <c r="G65" t="n">
        <v>2</v>
      </c>
      <c r="H65" t="n">
        <v>51</v>
      </c>
      <c r="I65" t="n">
        <v>66</v>
      </c>
      <c r="J65">
        <f>H65+N(I65)</f>
        <v/>
      </c>
    </row>
    <row r="66">
      <c r="G66" t="n">
        <v>2</v>
      </c>
      <c r="H66" t="n">
        <v>52</v>
      </c>
      <c r="I66" t="n">
        <v>69</v>
      </c>
      <c r="J66">
        <f>H66+N(I66)</f>
        <v/>
      </c>
    </row>
    <row r="67">
      <c r="G67" t="n">
        <v>2</v>
      </c>
      <c r="H67" t="n">
        <v>66</v>
      </c>
      <c r="I67" t="n">
        <v>56</v>
      </c>
      <c r="J67">
        <f>H67+N(I67)</f>
        <v/>
      </c>
    </row>
    <row r="68">
      <c r="G68" t="n">
        <v>2</v>
      </c>
      <c r="H68" t="n">
        <v>69</v>
      </c>
      <c r="I68" t="n">
        <v>53</v>
      </c>
      <c r="J68">
        <f>H68+N(I68)</f>
        <v/>
      </c>
    </row>
    <row r="69">
      <c r="G69" t="n">
        <v>2</v>
      </c>
      <c r="H69" t="n">
        <v>65</v>
      </c>
      <c r="I69" t="n">
        <v>58</v>
      </c>
      <c r="J69">
        <f>H69+N(I69)</f>
        <v/>
      </c>
    </row>
    <row r="70">
      <c r="G70" t="n">
        <v>2</v>
      </c>
      <c r="H70" t="n">
        <v>53</v>
      </c>
      <c r="I70" t="n">
        <v>71</v>
      </c>
      <c r="J70">
        <f>H70+N(I70)</f>
        <v/>
      </c>
    </row>
    <row r="71">
      <c r="G71" t="n">
        <v>2</v>
      </c>
      <c r="H71" t="n">
        <v>52</v>
      </c>
      <c r="I71" t="n">
        <v>73</v>
      </c>
      <c r="J71">
        <f>H71+N(I71)</f>
        <v/>
      </c>
    </row>
    <row r="72">
      <c r="G72" t="n">
        <v>2</v>
      </c>
      <c r="H72" t="n">
        <v>73</v>
      </c>
      <c r="I72" t="n">
        <v>56</v>
      </c>
      <c r="J72">
        <f>H72+N(I72)</f>
        <v/>
      </c>
    </row>
    <row r="73">
      <c r="G73" t="n">
        <v>2</v>
      </c>
      <c r="H73" t="n">
        <v>62</v>
      </c>
      <c r="I73" t="n">
        <v>67</v>
      </c>
      <c r="J73">
        <f>H73+N(I73)</f>
        <v/>
      </c>
    </row>
    <row r="74">
      <c r="G74" t="n">
        <v>2</v>
      </c>
      <c r="H74" t="n">
        <v>77</v>
      </c>
      <c r="I74" t="n">
        <v>52</v>
      </c>
      <c r="J74">
        <f>H74+N(I74)</f>
        <v/>
      </c>
    </row>
    <row r="75">
      <c r="G75" t="n">
        <v>2</v>
      </c>
      <c r="H75" t="n">
        <v>52</v>
      </c>
      <c r="I75" t="n">
        <v>78</v>
      </c>
      <c r="J75">
        <f>H75+N(I75)</f>
        <v/>
      </c>
    </row>
    <row r="76">
      <c r="G76" t="n">
        <v>2</v>
      </c>
      <c r="H76" t="n">
        <v>51</v>
      </c>
      <c r="I76" t="n">
        <v>80</v>
      </c>
      <c r="J76">
        <f>H76+N(I76)</f>
        <v/>
      </c>
    </row>
    <row r="77">
      <c r="G77" t="n">
        <v>2</v>
      </c>
      <c r="H77" t="n">
        <v>61</v>
      </c>
      <c r="I77" t="n">
        <v>72</v>
      </c>
      <c r="J77">
        <f>H77+N(I77)</f>
        <v/>
      </c>
    </row>
    <row r="78">
      <c r="G78" t="n">
        <v>2</v>
      </c>
      <c r="H78" t="n">
        <v>57</v>
      </c>
      <c r="I78" t="n">
        <v>76</v>
      </c>
      <c r="J78">
        <f>H78+N(I78)</f>
        <v/>
      </c>
    </row>
    <row r="79">
      <c r="G79" t="n">
        <v>2</v>
      </c>
      <c r="H79" t="n">
        <v>74</v>
      </c>
      <c r="I79" t="n">
        <v>61</v>
      </c>
      <c r="J79">
        <f>H79+N(I79)</f>
        <v/>
      </c>
    </row>
    <row r="80">
      <c r="G80" t="n">
        <v>2</v>
      </c>
      <c r="H80" t="n">
        <v>54</v>
      </c>
      <c r="I80" t="n">
        <v>83</v>
      </c>
      <c r="J80">
        <f>H80+N(I80)</f>
        <v/>
      </c>
    </row>
    <row r="81">
      <c r="G81" t="n">
        <v>2</v>
      </c>
      <c r="H81" t="n">
        <v>62</v>
      </c>
      <c r="I81" t="n">
        <v>76</v>
      </c>
      <c r="J81">
        <f>H81+N(I81)</f>
        <v/>
      </c>
    </row>
    <row r="82">
      <c r="G82" t="n">
        <v>2</v>
      </c>
      <c r="H82" t="n">
        <v>84</v>
      </c>
      <c r="I82" t="n">
        <v>55</v>
      </c>
      <c r="J82">
        <f>H82+N(I82)</f>
        <v/>
      </c>
    </row>
    <row r="83">
      <c r="G83" t="n">
        <v>2</v>
      </c>
      <c r="H83" t="n">
        <v>66</v>
      </c>
      <c r="I83" t="n">
        <v>74</v>
      </c>
      <c r="J83">
        <f>H83+N(I83)</f>
        <v/>
      </c>
    </row>
    <row r="84">
      <c r="G84" t="n">
        <v>2</v>
      </c>
      <c r="H84" t="n">
        <v>66</v>
      </c>
      <c r="I84" t="n">
        <v>76</v>
      </c>
      <c r="J84">
        <f>H84+N(I84)</f>
        <v/>
      </c>
    </row>
    <row r="85">
      <c r="G85" t="n">
        <v>2</v>
      </c>
      <c r="H85" t="n">
        <v>71</v>
      </c>
      <c r="I85" t="n">
        <v>77</v>
      </c>
      <c r="J85">
        <f>H85+N(I85)</f>
        <v/>
      </c>
    </row>
    <row r="86">
      <c r="G86" t="n">
        <v>2</v>
      </c>
      <c r="H86" t="n">
        <v>57</v>
      </c>
      <c r="I86" t="n">
        <v>91</v>
      </c>
      <c r="J86">
        <f>H86+N(I86)</f>
        <v/>
      </c>
    </row>
    <row r="87">
      <c r="G87" t="n">
        <v>2</v>
      </c>
      <c r="H87" t="n">
        <v>88</v>
      </c>
      <c r="I87" t="n">
        <v>62</v>
      </c>
      <c r="J87">
        <f>H87+N(I87)</f>
        <v/>
      </c>
    </row>
    <row r="88">
      <c r="G88" t="n">
        <v>2</v>
      </c>
      <c r="H88" t="n">
        <v>82</v>
      </c>
      <c r="I88" t="n">
        <v>68</v>
      </c>
      <c r="J88">
        <f>H88+N(I88)</f>
        <v/>
      </c>
    </row>
    <row r="89">
      <c r="G89" t="n">
        <v>2</v>
      </c>
      <c r="H89" t="n">
        <v>72</v>
      </c>
      <c r="I89" t="n">
        <v>79</v>
      </c>
      <c r="J89">
        <f>H89+N(I89)</f>
        <v/>
      </c>
    </row>
    <row r="90">
      <c r="G90" t="n">
        <v>2</v>
      </c>
      <c r="H90" t="n">
        <v>89</v>
      </c>
      <c r="I90" t="n">
        <v>65</v>
      </c>
      <c r="J90">
        <f>H90+N(I90)</f>
        <v/>
      </c>
    </row>
    <row r="91">
      <c r="G91" t="n">
        <v>2</v>
      </c>
      <c r="H91" t="n">
        <v>92</v>
      </c>
      <c r="I91" t="n">
        <v>62</v>
      </c>
      <c r="J91">
        <f>H91+N(I91)</f>
        <v/>
      </c>
    </row>
    <row r="92">
      <c r="G92" t="n">
        <v>2</v>
      </c>
      <c r="H92" t="n">
        <v>74</v>
      </c>
      <c r="I92" t="n">
        <v>80</v>
      </c>
      <c r="J92">
        <f>H92+N(I92)</f>
        <v/>
      </c>
    </row>
    <row r="93">
      <c r="G93" t="n">
        <v>2</v>
      </c>
      <c r="H93" t="n">
        <v>83</v>
      </c>
      <c r="I93" t="n">
        <v>72</v>
      </c>
      <c r="J93">
        <f>H93+N(I93)</f>
        <v/>
      </c>
    </row>
    <row r="94">
      <c r="G94" t="n">
        <v>2</v>
      </c>
      <c r="H94" t="n">
        <v>75</v>
      </c>
      <c r="I94" t="n">
        <v>80</v>
      </c>
      <c r="J94">
        <f>H94+N(I94)</f>
        <v/>
      </c>
    </row>
    <row r="95">
      <c r="G95" t="n">
        <v>2</v>
      </c>
      <c r="H95" t="n">
        <v>69</v>
      </c>
      <c r="I95" t="n">
        <v>87</v>
      </c>
      <c r="J95">
        <f>H95+N(I95)</f>
        <v/>
      </c>
    </row>
    <row r="96">
      <c r="G96" t="n">
        <v>2</v>
      </c>
      <c r="H96" t="n">
        <v>69</v>
      </c>
      <c r="I96" t="n">
        <v>87</v>
      </c>
      <c r="J96">
        <f>H96+N(I96)</f>
        <v/>
      </c>
    </row>
    <row r="97">
      <c r="G97" t="n">
        <v>2</v>
      </c>
      <c r="H97" t="n">
        <v>100</v>
      </c>
      <c r="I97" t="n">
        <v>56</v>
      </c>
      <c r="J97">
        <f>H97+N(I97)</f>
        <v/>
      </c>
    </row>
    <row r="98">
      <c r="G98" t="n">
        <v>2</v>
      </c>
      <c r="H98" t="n">
        <v>74</v>
      </c>
      <c r="I98" t="n">
        <v>84</v>
      </c>
      <c r="J98">
        <f>H98+N(I98)</f>
        <v/>
      </c>
    </row>
    <row r="99">
      <c r="G99" t="n">
        <v>2</v>
      </c>
      <c r="H99" t="n">
        <v>85</v>
      </c>
      <c r="I99" t="n">
        <v>78</v>
      </c>
      <c r="J99">
        <f>H99+N(I99)</f>
        <v/>
      </c>
    </row>
    <row r="100">
      <c r="G100" t="n">
        <v>2</v>
      </c>
      <c r="H100" t="n">
        <v>65</v>
      </c>
      <c r="I100" t="n">
        <v>98</v>
      </c>
      <c r="J100">
        <f>H100+N(I100)</f>
        <v/>
      </c>
    </row>
    <row r="101">
      <c r="G101" t="n">
        <v>2</v>
      </c>
      <c r="H101" t="n">
        <v>98</v>
      </c>
      <c r="I101" t="n">
        <v>65</v>
      </c>
      <c r="J101">
        <f>H101+N(I101)</f>
        <v/>
      </c>
    </row>
    <row r="102">
      <c r="G102" t="n">
        <v>2</v>
      </c>
      <c r="H102" t="n">
        <v>66</v>
      </c>
      <c r="I102" t="n">
        <v>97</v>
      </c>
      <c r="J102">
        <f>H102+N(I102)</f>
        <v/>
      </c>
    </row>
    <row r="103">
      <c r="G103" t="n">
        <v>2</v>
      </c>
      <c r="H103" t="n">
        <v>74</v>
      </c>
      <c r="I103" t="n">
        <v>92</v>
      </c>
      <c r="J103">
        <f>H103+N(I103)</f>
        <v/>
      </c>
    </row>
    <row r="104">
      <c r="G104" t="n">
        <v>2</v>
      </c>
      <c r="H104" t="n">
        <v>84</v>
      </c>
      <c r="I104" t="n">
        <v>86</v>
      </c>
      <c r="J104">
        <f>H104+N(I104)</f>
        <v/>
      </c>
    </row>
    <row r="105">
      <c r="G105" t="n">
        <v>2</v>
      </c>
      <c r="H105" t="n">
        <v>78</v>
      </c>
      <c r="I105" t="n">
        <v>97</v>
      </c>
      <c r="J105">
        <f>H105+N(I105)</f>
        <v/>
      </c>
    </row>
    <row r="106">
      <c r="G106" t="n">
        <v>2</v>
      </c>
      <c r="H106" t="n">
        <v>90</v>
      </c>
      <c r="I106" t="n">
        <v>88</v>
      </c>
      <c r="J106">
        <f>H106+N(I106)</f>
        <v/>
      </c>
    </row>
    <row r="107">
      <c r="G107" t="n">
        <v>2</v>
      </c>
      <c r="H107" t="n">
        <v>99</v>
      </c>
      <c r="I107" t="n">
        <v>81</v>
      </c>
      <c r="J107">
        <f>H107+N(I107)</f>
        <v/>
      </c>
    </row>
    <row r="108">
      <c r="G108" t="n">
        <v>2</v>
      </c>
      <c r="H108" t="n">
        <v>85</v>
      </c>
      <c r="I108" t="n">
        <v>97</v>
      </c>
      <c r="J108">
        <f>H108+N(I108)</f>
        <v/>
      </c>
    </row>
    <row r="109">
      <c r="G109" t="n">
        <v>2</v>
      </c>
      <c r="H109" t="n">
        <v>95</v>
      </c>
      <c r="I109" t="n">
        <v>88</v>
      </c>
      <c r="J109">
        <f>H109+N(I109)</f>
        <v/>
      </c>
    </row>
    <row r="110">
      <c r="G110" t="n">
        <v>2</v>
      </c>
      <c r="H110" t="n">
        <v>99</v>
      </c>
      <c r="I110" t="n">
        <v>88</v>
      </c>
      <c r="J110">
        <f>H110+N(I110)</f>
        <v/>
      </c>
    </row>
    <row r="111">
      <c r="G111" t="n">
        <v>2</v>
      </c>
      <c r="H111" t="n">
        <v>94</v>
      </c>
      <c r="I111" t="n">
        <v>96</v>
      </c>
      <c r="J111">
        <f>H111+N(I111)</f>
        <v/>
      </c>
    </row>
    <row r="112">
      <c r="G112" t="n">
        <v>2</v>
      </c>
      <c r="H112" t="n">
        <v>99</v>
      </c>
      <c r="I112" t="n">
        <v>100</v>
      </c>
      <c r="J112">
        <f>H112+N(I112)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5" customWidth="1" min="13" max="13"/>
    <col width="18" customWidth="1" min="14" max="14"/>
  </cols>
  <sheetData>
    <row r="1">
      <c r="A1" s="1" t="inlineStr">
        <is>
          <t>MÉTODO 2 – Estoque Máximo / Período Fixo de Encomenda</t>
        </is>
      </c>
    </row>
    <row r="3">
      <c r="A3" s="6" t="inlineStr">
        <is>
          <t>PASSO 1 – Período ótimo de encomenda</t>
        </is>
      </c>
    </row>
    <row r="4">
      <c r="A4" t="inlineStr">
        <is>
          <t>T = Q0 / Demanda média diária</t>
        </is>
      </c>
      <c r="B4" s="7">
        <f>'1 - Qtde Fixa'!B5/'Parâmetros'!B5</f>
        <v/>
      </c>
    </row>
    <row r="5">
      <c r="A5" s="3" t="inlineStr">
        <is>
          <t>T adotado (dias inteiros)</t>
        </is>
      </c>
      <c r="B5" s="3">
        <f>ROUND(B4,0)</f>
        <v/>
      </c>
    </row>
    <row r="7">
      <c r="A7" s="6" t="inlineStr">
        <is>
          <t>PASSO 2 – Tempo de cobertura = T + TR</t>
        </is>
      </c>
    </row>
    <row r="8">
      <c r="A8" t="inlineStr">
        <is>
          <t>TR = 1 dia (30%)  →  cobertura (dias)</t>
        </is>
      </c>
      <c r="B8">
        <f>B5+1</f>
        <v/>
      </c>
    </row>
    <row r="9">
      <c r="A9" t="inlineStr">
        <is>
          <t>TR = 2 dias (70%)  →  cobertura (dias)</t>
        </is>
      </c>
      <c r="B9">
        <f>B5+2</f>
        <v/>
      </c>
    </row>
    <row r="10">
      <c r="A10" t="inlineStr">
        <is>
          <t>Cobertura média = T + TR médio</t>
        </is>
      </c>
      <c r="B10">
        <f>B5+'Parâmetros'!B8</f>
        <v/>
      </c>
    </row>
    <row r="11">
      <c r="A11" t="inlineStr">
        <is>
          <t>Demanda média na cobertura = D × cobertura média</t>
        </is>
      </c>
      <c r="B11">
        <f>'Parâmetros'!B5*B10</f>
        <v/>
      </c>
    </row>
    <row r="13">
      <c r="A13" s="6" t="inlineStr">
        <is>
          <t>PASSO 3 – Demanda no tempo de cobertura (100 sorteios: TR 1 dia 30% / 2 dias 70%; demanda diária de 51 a 100)</t>
        </is>
      </c>
    </row>
    <row r="14">
      <c r="A14" s="2" t="inlineStr">
        <is>
          <t>Classe de</t>
        </is>
      </c>
      <c r="B14" s="2" t="inlineStr">
        <is>
          <t>até</t>
        </is>
      </c>
      <c r="C14" s="2" t="inlineStr">
        <is>
          <t>Frequência</t>
        </is>
      </c>
      <c r="D14" s="2" t="inlineStr">
        <is>
          <t>Prob. (%)</t>
        </is>
      </c>
      <c r="E14" s="2" t="inlineStr">
        <is>
          <t>Freq. acum.</t>
        </is>
      </c>
      <c r="F14" s="2" t="inlineStr">
        <is>
          <t>Prob. acum. (%)</t>
        </is>
      </c>
      <c r="H14" s="2" t="inlineStr">
        <is>
          <t>TR sorteado</t>
        </is>
      </c>
      <c r="I14" s="2" t="inlineStr">
        <is>
          <t>Dia 1</t>
        </is>
      </c>
      <c r="J14" s="2" t="inlineStr">
        <is>
          <t>Dia 2</t>
        </is>
      </c>
      <c r="K14" s="2" t="inlineStr">
        <is>
          <t>Dia 3</t>
        </is>
      </c>
      <c r="L14" s="2" t="inlineStr">
        <is>
          <t>Dia 4</t>
        </is>
      </c>
      <c r="M14" s="2" t="inlineStr">
        <is>
          <t>Cobertura (dias)</t>
        </is>
      </c>
      <c r="N14" s="2" t="inlineStr">
        <is>
          <t>Demanda na cobertura</t>
        </is>
      </c>
    </row>
    <row r="15">
      <c r="A15" t="n">
        <v>171</v>
      </c>
      <c r="B15" t="n">
        <v>180</v>
      </c>
      <c r="C15">
        <f>COUNTIFS($N$15:$N$114,"&gt;="&amp;A15,$N$15:$N$114,"&lt;="&amp;B15)</f>
        <v/>
      </c>
      <c r="D15" s="9">
        <f>C15/COUNT($N$15:$N$114)</f>
        <v/>
      </c>
      <c r="E15">
        <f>SUM($C$15:C15)</f>
        <v/>
      </c>
      <c r="F15" s="9">
        <f>E15/COUNT($N$15:$N$114)</f>
        <v/>
      </c>
      <c r="H15" t="n">
        <v>2</v>
      </c>
      <c r="I15" t="n">
        <v>93</v>
      </c>
      <c r="J15" t="n">
        <v>84</v>
      </c>
      <c r="K15" t="n">
        <v>93</v>
      </c>
      <c r="L15" t="n">
        <v>73</v>
      </c>
      <c r="M15">
        <f>COUNT(I15:L15)</f>
        <v/>
      </c>
      <c r="N15">
        <f>SUM(I15:L15)</f>
        <v/>
      </c>
    </row>
    <row r="16">
      <c r="A16" t="n">
        <v>181</v>
      </c>
      <c r="B16" t="n">
        <v>190</v>
      </c>
      <c r="C16">
        <f>COUNTIFS($N$15:$N$114,"&gt;="&amp;A16,$N$15:$N$114,"&lt;="&amp;B16)</f>
        <v/>
      </c>
      <c r="D16" s="9">
        <f>C16/COUNT($N$15:$N$114)</f>
        <v/>
      </c>
      <c r="E16">
        <f>SUM($C$15:C16)</f>
        <v/>
      </c>
      <c r="F16" s="9">
        <f>E16/COUNT($N$15:$N$114)</f>
        <v/>
      </c>
      <c r="H16" t="n">
        <v>2</v>
      </c>
      <c r="I16" t="n">
        <v>51</v>
      </c>
      <c r="J16" t="n">
        <v>74</v>
      </c>
      <c r="K16" t="n">
        <v>81</v>
      </c>
      <c r="L16" t="n">
        <v>68</v>
      </c>
      <c r="M16">
        <f>COUNT(I16:L16)</f>
        <v/>
      </c>
      <c r="N16">
        <f>SUM(I16:L16)</f>
        <v/>
      </c>
    </row>
    <row r="17">
      <c r="A17" t="n">
        <v>191</v>
      </c>
      <c r="B17" t="n">
        <v>200</v>
      </c>
      <c r="C17">
        <f>COUNTIFS($N$15:$N$114,"&gt;="&amp;A17,$N$15:$N$114,"&lt;="&amp;B17)</f>
        <v/>
      </c>
      <c r="D17" s="9">
        <f>C17/COUNT($N$15:$N$114)</f>
        <v/>
      </c>
      <c r="E17">
        <f>SUM($C$15:C17)</f>
        <v/>
      </c>
      <c r="F17" s="9">
        <f>E17/COUNT($N$15:$N$114)</f>
        <v/>
      </c>
      <c r="H17" t="n">
        <v>2</v>
      </c>
      <c r="I17" t="n">
        <v>80</v>
      </c>
      <c r="J17" t="n">
        <v>95</v>
      </c>
      <c r="K17" t="n">
        <v>89</v>
      </c>
      <c r="L17" t="n">
        <v>65</v>
      </c>
      <c r="M17">
        <f>COUNT(I17:L17)</f>
        <v/>
      </c>
      <c r="N17">
        <f>SUM(I17:L17)</f>
        <v/>
      </c>
    </row>
    <row r="18">
      <c r="A18" t="n">
        <v>201</v>
      </c>
      <c r="B18" t="n">
        <v>210</v>
      </c>
      <c r="C18">
        <f>COUNTIFS($N$15:$N$114,"&gt;="&amp;A18,$N$15:$N$114,"&lt;="&amp;B18)</f>
        <v/>
      </c>
      <c r="D18" s="9">
        <f>C18/COUNT($N$15:$N$114)</f>
        <v/>
      </c>
      <c r="E18">
        <f>SUM($C$15:C18)</f>
        <v/>
      </c>
      <c r="F18" s="9">
        <f>E18/COUNT($N$15:$N$114)</f>
        <v/>
      </c>
      <c r="H18" t="n">
        <v>2</v>
      </c>
      <c r="I18" t="n">
        <v>93</v>
      </c>
      <c r="J18" t="n">
        <v>90</v>
      </c>
      <c r="K18" t="n">
        <v>60</v>
      </c>
      <c r="L18" t="n">
        <v>79</v>
      </c>
      <c r="M18">
        <f>COUNT(I18:L18)</f>
        <v/>
      </c>
      <c r="N18">
        <f>SUM(I18:L18)</f>
        <v/>
      </c>
    </row>
    <row r="19">
      <c r="A19" t="n">
        <v>211</v>
      </c>
      <c r="B19" t="n">
        <v>220</v>
      </c>
      <c r="C19">
        <f>COUNTIFS($N$15:$N$114,"&gt;="&amp;A19,$N$15:$N$114,"&lt;="&amp;B19)</f>
        <v/>
      </c>
      <c r="D19" s="9">
        <f>C19/COUNT($N$15:$N$114)</f>
        <v/>
      </c>
      <c r="E19">
        <f>SUM($C$15:C19)</f>
        <v/>
      </c>
      <c r="F19" s="9">
        <f>E19/COUNT($N$15:$N$114)</f>
        <v/>
      </c>
      <c r="H19" t="n">
        <v>2</v>
      </c>
      <c r="I19" t="n">
        <v>72</v>
      </c>
      <c r="J19" t="n">
        <v>64</v>
      </c>
      <c r="K19" t="n">
        <v>54</v>
      </c>
      <c r="L19" t="n">
        <v>87</v>
      </c>
      <c r="M19">
        <f>COUNT(I19:L19)</f>
        <v/>
      </c>
      <c r="N19">
        <f>SUM(I19:L19)</f>
        <v/>
      </c>
    </row>
    <row r="20">
      <c r="A20" t="n">
        <v>221</v>
      </c>
      <c r="B20" t="n">
        <v>230</v>
      </c>
      <c r="C20">
        <f>COUNTIFS($N$15:$N$114,"&gt;="&amp;A20,$N$15:$N$114,"&lt;="&amp;B20)</f>
        <v/>
      </c>
      <c r="D20" s="9">
        <f>C20/COUNT($N$15:$N$114)</f>
        <v/>
      </c>
      <c r="E20">
        <f>SUM($C$15:C20)</f>
        <v/>
      </c>
      <c r="F20" s="9">
        <f>E20/COUNT($N$15:$N$114)</f>
        <v/>
      </c>
      <c r="H20" t="n">
        <v>1</v>
      </c>
      <c r="I20" t="n">
        <v>55</v>
      </c>
      <c r="J20" t="n">
        <v>83</v>
      </c>
      <c r="K20" t="n">
        <v>94</v>
      </c>
      <c r="M20">
        <f>COUNT(I20:L20)</f>
        <v/>
      </c>
      <c r="N20">
        <f>SUM(I20:L20)</f>
        <v/>
      </c>
    </row>
    <row r="21">
      <c r="A21" t="n">
        <v>231</v>
      </c>
      <c r="B21" t="n">
        <v>240</v>
      </c>
      <c r="C21">
        <f>COUNTIFS($N$15:$N$114,"&gt;="&amp;A21,$N$15:$N$114,"&lt;="&amp;B21)</f>
        <v/>
      </c>
      <c r="D21" s="9">
        <f>C21/COUNT($N$15:$N$114)</f>
        <v/>
      </c>
      <c r="E21">
        <f>SUM($C$15:C21)</f>
        <v/>
      </c>
      <c r="F21" s="9">
        <f>E21/COUNT($N$15:$N$114)</f>
        <v/>
      </c>
      <c r="H21" t="n">
        <v>1</v>
      </c>
      <c r="I21" t="n">
        <v>94</v>
      </c>
      <c r="J21" t="n">
        <v>76</v>
      </c>
      <c r="K21" t="n">
        <v>56</v>
      </c>
      <c r="M21">
        <f>COUNT(I21:L21)</f>
        <v/>
      </c>
      <c r="N21">
        <f>SUM(I21:L21)</f>
        <v/>
      </c>
    </row>
    <row r="22">
      <c r="A22" t="n">
        <v>241</v>
      </c>
      <c r="B22" t="n">
        <v>250</v>
      </c>
      <c r="C22">
        <f>COUNTIFS($N$15:$N$114,"&gt;="&amp;A22,$N$15:$N$114,"&lt;="&amp;B22)</f>
        <v/>
      </c>
      <c r="D22" s="9">
        <f>C22/COUNT($N$15:$N$114)</f>
        <v/>
      </c>
      <c r="E22">
        <f>SUM($C$15:C22)</f>
        <v/>
      </c>
      <c r="F22" s="9">
        <f>E22/COUNT($N$15:$N$114)</f>
        <v/>
      </c>
      <c r="H22" t="n">
        <v>2</v>
      </c>
      <c r="I22" t="n">
        <v>54</v>
      </c>
      <c r="J22" t="n">
        <v>93</v>
      </c>
      <c r="K22" t="n">
        <v>83</v>
      </c>
      <c r="L22" t="n">
        <v>65</v>
      </c>
      <c r="M22">
        <f>COUNT(I22:L22)</f>
        <v/>
      </c>
      <c r="N22">
        <f>SUM(I22:L22)</f>
        <v/>
      </c>
    </row>
    <row r="23">
      <c r="A23" t="n">
        <v>251</v>
      </c>
      <c r="B23" t="n">
        <v>260</v>
      </c>
      <c r="C23">
        <f>COUNTIFS($N$15:$N$114,"&gt;="&amp;A23,$N$15:$N$114,"&lt;="&amp;B23)</f>
        <v/>
      </c>
      <c r="D23" s="9">
        <f>C23/COUNT($N$15:$N$114)</f>
        <v/>
      </c>
      <c r="E23">
        <f>SUM($C$15:C23)</f>
        <v/>
      </c>
      <c r="F23" s="9">
        <f>E23/COUNT($N$15:$N$114)</f>
        <v/>
      </c>
      <c r="H23" t="n">
        <v>2</v>
      </c>
      <c r="I23" t="n">
        <v>78</v>
      </c>
      <c r="J23" t="n">
        <v>79</v>
      </c>
      <c r="K23" t="n">
        <v>58</v>
      </c>
      <c r="L23" t="n">
        <v>93</v>
      </c>
      <c r="M23">
        <f>COUNT(I23:L23)</f>
        <v/>
      </c>
      <c r="N23">
        <f>SUM(I23:L23)</f>
        <v/>
      </c>
    </row>
    <row r="24">
      <c r="A24" t="n">
        <v>261</v>
      </c>
      <c r="B24" t="n">
        <v>270</v>
      </c>
      <c r="C24">
        <f>COUNTIFS($N$15:$N$114,"&gt;="&amp;A24,$N$15:$N$114,"&lt;="&amp;B24)</f>
        <v/>
      </c>
      <c r="D24" s="9">
        <f>C24/COUNT($N$15:$N$114)</f>
        <v/>
      </c>
      <c r="E24">
        <f>SUM($C$15:C24)</f>
        <v/>
      </c>
      <c r="F24" s="9">
        <f>E24/COUNT($N$15:$N$114)</f>
        <v/>
      </c>
      <c r="H24" t="n">
        <v>2</v>
      </c>
      <c r="I24" t="n">
        <v>59</v>
      </c>
      <c r="J24" t="n">
        <v>85</v>
      </c>
      <c r="K24" t="n">
        <v>71</v>
      </c>
      <c r="L24" t="n">
        <v>90</v>
      </c>
      <c r="M24">
        <f>COUNT(I24:L24)</f>
        <v/>
      </c>
      <c r="N24">
        <f>SUM(I24:L24)</f>
        <v/>
      </c>
    </row>
    <row r="25">
      <c r="A25" t="n">
        <v>271</v>
      </c>
      <c r="B25" t="n">
        <v>280</v>
      </c>
      <c r="C25">
        <f>COUNTIFS($N$15:$N$114,"&gt;="&amp;A25,$N$15:$N$114,"&lt;="&amp;B25)</f>
        <v/>
      </c>
      <c r="D25" s="9">
        <f>C25/COUNT($N$15:$N$114)</f>
        <v/>
      </c>
      <c r="E25">
        <f>SUM($C$15:C25)</f>
        <v/>
      </c>
      <c r="F25" s="9">
        <f>E25/COUNT($N$15:$N$114)</f>
        <v/>
      </c>
      <c r="H25" t="n">
        <v>2</v>
      </c>
      <c r="I25" t="n">
        <v>95</v>
      </c>
      <c r="J25" t="n">
        <v>54</v>
      </c>
      <c r="K25" t="n">
        <v>86</v>
      </c>
      <c r="L25" t="n">
        <v>61</v>
      </c>
      <c r="M25">
        <f>COUNT(I25:L25)</f>
        <v/>
      </c>
      <c r="N25">
        <f>SUM(I25:L25)</f>
        <v/>
      </c>
    </row>
    <row r="26">
      <c r="A26" t="n">
        <v>281</v>
      </c>
      <c r="B26" t="n">
        <v>290</v>
      </c>
      <c r="C26">
        <f>COUNTIFS($N$15:$N$114,"&gt;="&amp;A26,$N$15:$N$114,"&lt;="&amp;B26)</f>
        <v/>
      </c>
      <c r="D26" s="9">
        <f>C26/COUNT($N$15:$N$114)</f>
        <v/>
      </c>
      <c r="E26">
        <f>SUM($C$15:C26)</f>
        <v/>
      </c>
      <c r="F26" s="9">
        <f>E26/COUNT($N$15:$N$114)</f>
        <v/>
      </c>
      <c r="H26" t="n">
        <v>2</v>
      </c>
      <c r="I26" t="n">
        <v>56</v>
      </c>
      <c r="J26" t="n">
        <v>76</v>
      </c>
      <c r="K26" t="n">
        <v>89</v>
      </c>
      <c r="L26" t="n">
        <v>77</v>
      </c>
      <c r="M26">
        <f>COUNT(I26:L26)</f>
        <v/>
      </c>
      <c r="N26">
        <f>SUM(I26:L26)</f>
        <v/>
      </c>
    </row>
    <row r="27">
      <c r="A27" t="n">
        <v>291</v>
      </c>
      <c r="B27" t="n">
        <v>300</v>
      </c>
      <c r="C27">
        <f>COUNTIFS($N$15:$N$114,"&gt;="&amp;A27,$N$15:$N$114,"&lt;="&amp;B27)</f>
        <v/>
      </c>
      <c r="D27" s="9">
        <f>C27/COUNT($N$15:$N$114)</f>
        <v/>
      </c>
      <c r="E27">
        <f>SUM($C$15:C27)</f>
        <v/>
      </c>
      <c r="F27" s="9">
        <f>E27/COUNT($N$15:$N$114)</f>
        <v/>
      </c>
      <c r="H27" t="n">
        <v>2</v>
      </c>
      <c r="I27" t="n">
        <v>81</v>
      </c>
      <c r="J27" t="n">
        <v>81</v>
      </c>
      <c r="K27" t="n">
        <v>89</v>
      </c>
      <c r="L27" t="n">
        <v>75</v>
      </c>
      <c r="M27">
        <f>COUNT(I27:L27)</f>
        <v/>
      </c>
      <c r="N27">
        <f>SUM(I27:L27)</f>
        <v/>
      </c>
    </row>
    <row r="28">
      <c r="A28" t="n">
        <v>301</v>
      </c>
      <c r="B28" t="n">
        <v>310</v>
      </c>
      <c r="C28">
        <f>COUNTIFS($N$15:$N$114,"&gt;="&amp;A28,$N$15:$N$114,"&lt;="&amp;B28)</f>
        <v/>
      </c>
      <c r="D28" s="9">
        <f>C28/COUNT($N$15:$N$114)</f>
        <v/>
      </c>
      <c r="E28">
        <f>SUM($C$15:C28)</f>
        <v/>
      </c>
      <c r="F28" s="9">
        <f>E28/COUNT($N$15:$N$114)</f>
        <v/>
      </c>
      <c r="H28" t="n">
        <v>2</v>
      </c>
      <c r="I28" t="n">
        <v>92</v>
      </c>
      <c r="J28" t="n">
        <v>97</v>
      </c>
      <c r="K28" t="n">
        <v>56</v>
      </c>
      <c r="L28" t="n">
        <v>63</v>
      </c>
      <c r="M28">
        <f>COUNT(I28:L28)</f>
        <v/>
      </c>
      <c r="N28">
        <f>SUM(I28:L28)</f>
        <v/>
      </c>
    </row>
    <row r="29">
      <c r="A29" t="n">
        <v>311</v>
      </c>
      <c r="B29" t="n">
        <v>320</v>
      </c>
      <c r="C29">
        <f>COUNTIFS($N$15:$N$114,"&gt;="&amp;A29,$N$15:$N$114,"&lt;="&amp;B29)</f>
        <v/>
      </c>
      <c r="D29" s="9">
        <f>C29/COUNT($N$15:$N$114)</f>
        <v/>
      </c>
      <c r="E29">
        <f>SUM($C$15:C29)</f>
        <v/>
      </c>
      <c r="F29" s="9">
        <f>E29/COUNT($N$15:$N$114)</f>
        <v/>
      </c>
      <c r="H29" t="n">
        <v>1</v>
      </c>
      <c r="I29" t="n">
        <v>93</v>
      </c>
      <c r="J29" t="n">
        <v>67</v>
      </c>
      <c r="K29" t="n">
        <v>73</v>
      </c>
      <c r="M29">
        <f>COUNT(I29:L29)</f>
        <v/>
      </c>
      <c r="N29">
        <f>SUM(I29:L29)</f>
        <v/>
      </c>
    </row>
    <row r="30">
      <c r="A30" t="n">
        <v>321</v>
      </c>
      <c r="B30" t="n">
        <v>330</v>
      </c>
      <c r="C30">
        <f>COUNTIFS($N$15:$N$114,"&gt;="&amp;A30,$N$15:$N$114,"&lt;="&amp;B30)</f>
        <v/>
      </c>
      <c r="D30" s="9">
        <f>C30/COUNT($N$15:$N$114)</f>
        <v/>
      </c>
      <c r="E30">
        <f>SUM($C$15:C30)</f>
        <v/>
      </c>
      <c r="F30" s="9">
        <f>E30/COUNT($N$15:$N$114)</f>
        <v/>
      </c>
      <c r="H30" t="n">
        <v>1</v>
      </c>
      <c r="I30" t="n">
        <v>95</v>
      </c>
      <c r="J30" t="n">
        <v>75</v>
      </c>
      <c r="K30" t="n">
        <v>94</v>
      </c>
      <c r="M30">
        <f>COUNT(I30:L30)</f>
        <v/>
      </c>
      <c r="N30">
        <f>SUM(I30:L30)</f>
        <v/>
      </c>
    </row>
    <row r="31">
      <c r="A31" t="n">
        <v>331</v>
      </c>
      <c r="B31" t="n">
        <v>340</v>
      </c>
      <c r="C31">
        <f>COUNTIFS($N$15:$N$114,"&gt;="&amp;A31,$N$15:$N$114,"&lt;="&amp;B31)</f>
        <v/>
      </c>
      <c r="D31" s="9">
        <f>C31/COUNT($N$15:$N$114)</f>
        <v/>
      </c>
      <c r="E31">
        <f>SUM($C$15:C31)</f>
        <v/>
      </c>
      <c r="F31" s="9">
        <f>E31/COUNT($N$15:$N$114)</f>
        <v/>
      </c>
      <c r="H31" t="n">
        <v>2</v>
      </c>
      <c r="I31" t="n">
        <v>67</v>
      </c>
      <c r="J31" t="n">
        <v>66</v>
      </c>
      <c r="K31" t="n">
        <v>72</v>
      </c>
      <c r="L31" t="n">
        <v>74</v>
      </c>
      <c r="M31">
        <f>COUNT(I31:L31)</f>
        <v/>
      </c>
      <c r="N31">
        <f>SUM(I31:L31)</f>
        <v/>
      </c>
    </row>
    <row r="32">
      <c r="A32" t="n">
        <v>341</v>
      </c>
      <c r="B32" t="n">
        <v>350</v>
      </c>
      <c r="C32">
        <f>COUNTIFS($N$15:$N$114,"&gt;="&amp;A32,$N$15:$N$114,"&lt;="&amp;B32)</f>
        <v/>
      </c>
      <c r="D32" s="9">
        <f>C32/COUNT($N$15:$N$114)</f>
        <v/>
      </c>
      <c r="E32">
        <f>SUM($C$15:C32)</f>
        <v/>
      </c>
      <c r="F32" s="9">
        <f>E32/COUNT($N$15:$N$114)</f>
        <v/>
      </c>
      <c r="H32" t="n">
        <v>2</v>
      </c>
      <c r="I32" t="n">
        <v>87</v>
      </c>
      <c r="J32" t="n">
        <v>99</v>
      </c>
      <c r="K32" t="n">
        <v>83</v>
      </c>
      <c r="L32" t="n">
        <v>62</v>
      </c>
      <c r="M32">
        <f>COUNT(I32:L32)</f>
        <v/>
      </c>
      <c r="N32">
        <f>SUM(I32:L32)</f>
        <v/>
      </c>
    </row>
    <row r="33">
      <c r="A33" t="n">
        <v>351</v>
      </c>
      <c r="B33" t="n">
        <v>360</v>
      </c>
      <c r="C33">
        <f>COUNTIFS($N$15:$N$114,"&gt;="&amp;A33,$N$15:$N$114,"&lt;="&amp;B33)</f>
        <v/>
      </c>
      <c r="D33" s="9">
        <f>C33/COUNT($N$15:$N$114)</f>
        <v/>
      </c>
      <c r="E33">
        <f>SUM($C$15:C33)</f>
        <v/>
      </c>
      <c r="F33" s="9">
        <f>E33/COUNT($N$15:$N$114)</f>
        <v/>
      </c>
      <c r="H33" t="n">
        <v>2</v>
      </c>
      <c r="I33" t="n">
        <v>78</v>
      </c>
      <c r="J33" t="n">
        <v>53</v>
      </c>
      <c r="K33" t="n">
        <v>84</v>
      </c>
      <c r="L33" t="n">
        <v>52</v>
      </c>
      <c r="M33">
        <f>COUNT(I33:L33)</f>
        <v/>
      </c>
      <c r="N33">
        <f>SUM(I33:L33)</f>
        <v/>
      </c>
    </row>
    <row r="34">
      <c r="A34" t="n">
        <v>361</v>
      </c>
      <c r="B34" t="n">
        <v>370</v>
      </c>
      <c r="C34">
        <f>COUNTIFS($N$15:$N$114,"&gt;="&amp;A34,$N$15:$N$114,"&lt;="&amp;B34)</f>
        <v/>
      </c>
      <c r="D34" s="9">
        <f>C34/COUNT($N$15:$N$114)</f>
        <v/>
      </c>
      <c r="E34">
        <f>SUM($C$15:C34)</f>
        <v/>
      </c>
      <c r="F34" s="9">
        <f>E34/COUNT($N$15:$N$114)</f>
        <v/>
      </c>
      <c r="H34" t="n">
        <v>2</v>
      </c>
      <c r="I34" t="n">
        <v>78</v>
      </c>
      <c r="J34" t="n">
        <v>53</v>
      </c>
      <c r="K34" t="n">
        <v>75</v>
      </c>
      <c r="L34" t="n">
        <v>64</v>
      </c>
      <c r="M34">
        <f>COUNT(I34:L34)</f>
        <v/>
      </c>
      <c r="N34">
        <f>SUM(I34:L34)</f>
        <v/>
      </c>
    </row>
    <row r="35">
      <c r="A35" t="n">
        <v>371</v>
      </c>
      <c r="B35" t="n">
        <v>380</v>
      </c>
      <c r="C35">
        <f>COUNTIFS($N$15:$N$114,"&gt;="&amp;A35,$N$15:$N$114,"&lt;="&amp;B35)</f>
        <v/>
      </c>
      <c r="D35" s="9">
        <f>C35/COUNT($N$15:$N$114)</f>
        <v/>
      </c>
      <c r="E35">
        <f>SUM($C$15:C35)</f>
        <v/>
      </c>
      <c r="F35" s="9">
        <f>E35/COUNT($N$15:$N$114)</f>
        <v/>
      </c>
      <c r="H35" t="n">
        <v>1</v>
      </c>
      <c r="I35" t="n">
        <v>57</v>
      </c>
      <c r="J35" t="n">
        <v>99</v>
      </c>
      <c r="K35" t="n">
        <v>86</v>
      </c>
      <c r="M35">
        <f>COUNT(I35:L35)</f>
        <v/>
      </c>
      <c r="N35">
        <f>SUM(I35:L35)</f>
        <v/>
      </c>
    </row>
    <row r="36">
      <c r="A36" t="n">
        <v>381</v>
      </c>
      <c r="B36" t="n">
        <v>390</v>
      </c>
      <c r="C36">
        <f>COUNTIFS($N$15:$N$114,"&gt;="&amp;A36,$N$15:$N$114,"&lt;="&amp;B36)</f>
        <v/>
      </c>
      <c r="D36" s="9">
        <f>C36/COUNT($N$15:$N$114)</f>
        <v/>
      </c>
      <c r="E36">
        <f>SUM($C$15:C36)</f>
        <v/>
      </c>
      <c r="F36" s="9">
        <f>E36/COUNT($N$15:$N$114)</f>
        <v/>
      </c>
      <c r="H36" t="n">
        <v>2</v>
      </c>
      <c r="I36" t="n">
        <v>55</v>
      </c>
      <c r="J36" t="n">
        <v>95</v>
      </c>
      <c r="K36" t="n">
        <v>68</v>
      </c>
      <c r="L36" t="n">
        <v>53</v>
      </c>
      <c r="M36">
        <f>COUNT(I36:L36)</f>
        <v/>
      </c>
      <c r="N36">
        <f>SUM(I36:L36)</f>
        <v/>
      </c>
    </row>
    <row r="37">
      <c r="A37" t="n">
        <v>391</v>
      </c>
      <c r="B37" t="n">
        <v>400</v>
      </c>
      <c r="C37">
        <f>COUNTIFS($N$15:$N$114,"&gt;="&amp;A37,$N$15:$N$114,"&lt;="&amp;B37)</f>
        <v/>
      </c>
      <c r="D37" s="9">
        <f>C37/COUNT($N$15:$N$114)</f>
        <v/>
      </c>
      <c r="E37">
        <f>SUM($C$15:C37)</f>
        <v/>
      </c>
      <c r="F37" s="9">
        <f>E37/COUNT($N$15:$N$114)</f>
        <v/>
      </c>
      <c r="H37" t="n">
        <v>2</v>
      </c>
      <c r="I37" t="n">
        <v>82</v>
      </c>
      <c r="J37" t="n">
        <v>73</v>
      </c>
      <c r="K37" t="n">
        <v>89</v>
      </c>
      <c r="L37" t="n">
        <v>91</v>
      </c>
      <c r="M37">
        <f>COUNT(I37:L37)</f>
        <v/>
      </c>
      <c r="N37">
        <f>SUM(I37:L37)</f>
        <v/>
      </c>
    </row>
    <row r="38">
      <c r="H38" t="n">
        <v>1</v>
      </c>
      <c r="I38" t="n">
        <v>83</v>
      </c>
      <c r="J38" t="n">
        <v>80</v>
      </c>
      <c r="K38" t="n">
        <v>74</v>
      </c>
      <c r="M38">
        <f>COUNT(I38:L38)</f>
        <v/>
      </c>
      <c r="N38">
        <f>SUM(I38:L38)</f>
        <v/>
      </c>
    </row>
    <row r="39">
      <c r="A39" s="6" t="inlineStr">
        <is>
          <t>PASSO 4 – Estoque Máximo e Estoque de Segurança</t>
        </is>
      </c>
      <c r="H39" t="n">
        <v>2</v>
      </c>
      <c r="I39" t="n">
        <v>69</v>
      </c>
      <c r="J39" t="n">
        <v>80</v>
      </c>
      <c r="K39" t="n">
        <v>81</v>
      </c>
      <c r="L39" t="n">
        <v>95</v>
      </c>
      <c r="M39">
        <f>COUNT(I39:L39)</f>
        <v/>
      </c>
      <c r="N39">
        <f>SUM(I39:L39)</f>
        <v/>
      </c>
    </row>
    <row r="40">
      <c r="A40" s="2" t="inlineStr">
        <is>
          <t>Nível de serviço</t>
        </is>
      </c>
      <c r="B40" s="2" t="inlineStr">
        <is>
          <t>Estoque Máximo</t>
        </is>
      </c>
      <c r="C40" s="2" t="inlineStr">
        <is>
          <t>Estoque de Segurança</t>
        </is>
      </c>
      <c r="D40" s="2" t="inlineStr">
        <is>
          <t>Custo mensal do ES (R$)</t>
        </is>
      </c>
      <c r="H40" t="n">
        <v>1</v>
      </c>
      <c r="I40" t="n">
        <v>81</v>
      </c>
      <c r="J40" t="n">
        <v>66</v>
      </c>
      <c r="K40" t="n">
        <v>61</v>
      </c>
      <c r="M40">
        <f>COUNT(I40:L40)</f>
        <v/>
      </c>
      <c r="N40">
        <f>SUM(I40:L40)</f>
        <v/>
      </c>
    </row>
    <row r="41">
      <c r="A41" s="10" t="n">
        <v>1</v>
      </c>
      <c r="B41">
        <f>INDEX($B$15:$B$37,MATCH(TRUE,INDEX($F$15:$F$37&gt;=1-1E-9,0),0))</f>
        <v/>
      </c>
      <c r="C41">
        <f>B41-$B$11</f>
        <v/>
      </c>
      <c r="D41" s="7">
        <f>C41*'Parâmetros'!$B$4*'Parâmetros'!$B$11</f>
        <v/>
      </c>
      <c r="H41" t="n">
        <v>2</v>
      </c>
      <c r="I41" t="n">
        <v>86</v>
      </c>
      <c r="J41" t="n">
        <v>74</v>
      </c>
      <c r="K41" t="n">
        <v>62</v>
      </c>
      <c r="L41" t="n">
        <v>63</v>
      </c>
      <c r="M41">
        <f>COUNT(I41:L41)</f>
        <v/>
      </c>
      <c r="N41">
        <f>SUM(I41:L41)</f>
        <v/>
      </c>
    </row>
    <row r="42">
      <c r="A42" s="11" t="n">
        <v>0.95</v>
      </c>
      <c r="B42" s="3">
        <f>INDEX($B$15:$B$37,MATCH(TRUE,INDEX($F$15:$F$37&gt;=0.95-1E-9,0),0))</f>
        <v/>
      </c>
      <c r="C42" s="3">
        <f>B42-$B$11</f>
        <v/>
      </c>
      <c r="D42" s="12">
        <f>C42*'Parâmetros'!$B$4*'Parâmetros'!$B$11</f>
        <v/>
      </c>
      <c r="H42" t="n">
        <v>1</v>
      </c>
      <c r="I42" t="n">
        <v>65</v>
      </c>
      <c r="J42" t="n">
        <v>89</v>
      </c>
      <c r="K42" t="n">
        <v>51</v>
      </c>
      <c r="M42">
        <f>COUNT(I42:L42)</f>
        <v/>
      </c>
      <c r="N42">
        <f>SUM(I42:L42)</f>
        <v/>
      </c>
    </row>
    <row r="43">
      <c r="A43" s="10" t="n">
        <v>0.9</v>
      </c>
      <c r="B43">
        <f>INDEX($B$15:$B$37,MATCH(TRUE,INDEX($F$15:$F$37&gt;=0.9-1E-9,0),0))</f>
        <v/>
      </c>
      <c r="C43">
        <f>B43-$B$11</f>
        <v/>
      </c>
      <c r="D43" s="7">
        <f>C43*'Parâmetros'!$B$4*'Parâmetros'!$B$11</f>
        <v/>
      </c>
      <c r="H43" t="n">
        <v>1</v>
      </c>
      <c r="I43" t="n">
        <v>100</v>
      </c>
      <c r="J43" t="n">
        <v>72</v>
      </c>
      <c r="K43" t="n">
        <v>62</v>
      </c>
      <c r="M43">
        <f>COUNT(I43:L43)</f>
        <v/>
      </c>
      <c r="N43">
        <f>SUM(I43:L43)</f>
        <v/>
      </c>
    </row>
    <row r="44">
      <c r="H44" t="n">
        <v>2</v>
      </c>
      <c r="I44" t="n">
        <v>51</v>
      </c>
      <c r="J44" t="n">
        <v>83</v>
      </c>
      <c r="K44" t="n">
        <v>53</v>
      </c>
      <c r="L44" t="n">
        <v>66</v>
      </c>
      <c r="M44">
        <f>COUNT(I44:L44)</f>
        <v/>
      </c>
      <c r="N44">
        <f>SUM(I44:L44)</f>
        <v/>
      </c>
    </row>
    <row r="45">
      <c r="A45" s="6" t="inlineStr">
        <is>
          <t>RESPOSTA: a cada 2 dias, encomendar (350 − saldo físico − compras a receber) cocos (ES = 72,5).</t>
        </is>
      </c>
      <c r="H45" t="n">
        <v>2</v>
      </c>
      <c r="I45" t="n">
        <v>74</v>
      </c>
      <c r="J45" t="n">
        <v>85</v>
      </c>
      <c r="K45" t="n">
        <v>83</v>
      </c>
      <c r="L45" t="n">
        <v>60</v>
      </c>
      <c r="M45">
        <f>COUNT(I45:L45)</f>
        <v/>
      </c>
      <c r="N45">
        <f>SUM(I45:L45)</f>
        <v/>
      </c>
    </row>
    <row r="46">
      <c r="H46" t="n">
        <v>2</v>
      </c>
      <c r="I46" t="n">
        <v>71</v>
      </c>
      <c r="J46" t="n">
        <v>93</v>
      </c>
      <c r="K46" t="n">
        <v>68</v>
      </c>
      <c r="L46" t="n">
        <v>91</v>
      </c>
      <c r="M46">
        <f>COUNT(I46:L46)</f>
        <v/>
      </c>
      <c r="N46">
        <f>SUM(I46:L46)</f>
        <v/>
      </c>
    </row>
    <row r="47">
      <c r="H47" t="n">
        <v>2</v>
      </c>
      <c r="I47" t="n">
        <v>84</v>
      </c>
      <c r="J47" t="n">
        <v>83</v>
      </c>
      <c r="K47" t="n">
        <v>81</v>
      </c>
      <c r="L47" t="n">
        <v>82</v>
      </c>
      <c r="M47">
        <f>COUNT(I47:L47)</f>
        <v/>
      </c>
      <c r="N47">
        <f>SUM(I47:L47)</f>
        <v/>
      </c>
    </row>
    <row r="48">
      <c r="H48" t="n">
        <v>2</v>
      </c>
      <c r="I48" t="n">
        <v>67</v>
      </c>
      <c r="J48" t="n">
        <v>94</v>
      </c>
      <c r="K48" t="n">
        <v>79</v>
      </c>
      <c r="L48" t="n">
        <v>98</v>
      </c>
      <c r="M48">
        <f>COUNT(I48:L48)</f>
        <v/>
      </c>
      <c r="N48">
        <f>SUM(I48:L48)</f>
        <v/>
      </c>
    </row>
    <row r="49">
      <c r="H49" t="n">
        <v>2</v>
      </c>
      <c r="I49" t="n">
        <v>69</v>
      </c>
      <c r="J49" t="n">
        <v>90</v>
      </c>
      <c r="K49" t="n">
        <v>53</v>
      </c>
      <c r="L49" t="n">
        <v>68</v>
      </c>
      <c r="M49">
        <f>COUNT(I49:L49)</f>
        <v/>
      </c>
      <c r="N49">
        <f>SUM(I49:L49)</f>
        <v/>
      </c>
    </row>
    <row r="50">
      <c r="H50" t="n">
        <v>2</v>
      </c>
      <c r="I50" t="n">
        <v>83</v>
      </c>
      <c r="J50" t="n">
        <v>91</v>
      </c>
      <c r="K50" t="n">
        <v>95</v>
      </c>
      <c r="L50" t="n">
        <v>79</v>
      </c>
      <c r="M50">
        <f>COUNT(I50:L50)</f>
        <v/>
      </c>
      <c r="N50">
        <f>SUM(I50:L50)</f>
        <v/>
      </c>
    </row>
    <row r="51">
      <c r="H51" t="n">
        <v>1</v>
      </c>
      <c r="I51" t="n">
        <v>64</v>
      </c>
      <c r="J51" t="n">
        <v>97</v>
      </c>
      <c r="K51" t="n">
        <v>69</v>
      </c>
      <c r="M51">
        <f>COUNT(I51:L51)</f>
        <v/>
      </c>
      <c r="N51">
        <f>SUM(I51:L51)</f>
        <v/>
      </c>
    </row>
    <row r="52">
      <c r="H52" t="n">
        <v>2</v>
      </c>
      <c r="I52" t="n">
        <v>52</v>
      </c>
      <c r="J52" t="n">
        <v>94</v>
      </c>
      <c r="K52" t="n">
        <v>51</v>
      </c>
      <c r="L52" t="n">
        <v>95</v>
      </c>
      <c r="M52">
        <f>COUNT(I52:L52)</f>
        <v/>
      </c>
      <c r="N52">
        <f>SUM(I52:L52)</f>
        <v/>
      </c>
    </row>
    <row r="53">
      <c r="H53" t="n">
        <v>2</v>
      </c>
      <c r="I53" t="n">
        <v>86</v>
      </c>
      <c r="J53" t="n">
        <v>68</v>
      </c>
      <c r="K53" t="n">
        <v>77</v>
      </c>
      <c r="L53" t="n">
        <v>59</v>
      </c>
      <c r="M53">
        <f>COUNT(I53:L53)</f>
        <v/>
      </c>
      <c r="N53">
        <f>SUM(I53:L53)</f>
        <v/>
      </c>
    </row>
    <row r="54">
      <c r="H54" t="n">
        <v>2</v>
      </c>
      <c r="I54" t="n">
        <v>78</v>
      </c>
      <c r="J54" t="n">
        <v>81</v>
      </c>
      <c r="K54" t="n">
        <v>54</v>
      </c>
      <c r="L54" t="n">
        <v>86</v>
      </c>
      <c r="M54">
        <f>COUNT(I54:L54)</f>
        <v/>
      </c>
      <c r="N54">
        <f>SUM(I54:L54)</f>
        <v/>
      </c>
    </row>
    <row r="55">
      <c r="H55" t="n">
        <v>2</v>
      </c>
      <c r="I55" t="n">
        <v>97</v>
      </c>
      <c r="J55" t="n">
        <v>67</v>
      </c>
      <c r="K55" t="n">
        <v>99</v>
      </c>
      <c r="L55" t="n">
        <v>53</v>
      </c>
      <c r="M55">
        <f>COUNT(I55:L55)</f>
        <v/>
      </c>
      <c r="N55">
        <f>SUM(I55:L55)</f>
        <v/>
      </c>
    </row>
    <row r="56">
      <c r="H56" t="n">
        <v>2</v>
      </c>
      <c r="I56" t="n">
        <v>88</v>
      </c>
      <c r="J56" t="n">
        <v>56</v>
      </c>
      <c r="K56" t="n">
        <v>76</v>
      </c>
      <c r="L56" t="n">
        <v>63</v>
      </c>
      <c r="M56">
        <f>COUNT(I56:L56)</f>
        <v/>
      </c>
      <c r="N56">
        <f>SUM(I56:L56)</f>
        <v/>
      </c>
    </row>
    <row r="57">
      <c r="H57" t="n">
        <v>2</v>
      </c>
      <c r="I57" t="n">
        <v>73</v>
      </c>
      <c r="J57" t="n">
        <v>74</v>
      </c>
      <c r="K57" t="n">
        <v>91</v>
      </c>
      <c r="L57" t="n">
        <v>98</v>
      </c>
      <c r="M57">
        <f>COUNT(I57:L57)</f>
        <v/>
      </c>
      <c r="N57">
        <f>SUM(I57:L57)</f>
        <v/>
      </c>
    </row>
    <row r="58">
      <c r="H58" t="n">
        <v>2</v>
      </c>
      <c r="I58" t="n">
        <v>61</v>
      </c>
      <c r="J58" t="n">
        <v>52</v>
      </c>
      <c r="K58" t="n">
        <v>95</v>
      </c>
      <c r="L58" t="n">
        <v>96</v>
      </c>
      <c r="M58">
        <f>COUNT(I58:L58)</f>
        <v/>
      </c>
      <c r="N58">
        <f>SUM(I58:L58)</f>
        <v/>
      </c>
    </row>
    <row r="59">
      <c r="H59" t="n">
        <v>2</v>
      </c>
      <c r="I59" t="n">
        <v>52</v>
      </c>
      <c r="J59" t="n">
        <v>53</v>
      </c>
      <c r="K59" t="n">
        <v>55</v>
      </c>
      <c r="L59" t="n">
        <v>77</v>
      </c>
      <c r="M59">
        <f>COUNT(I59:L59)</f>
        <v/>
      </c>
      <c r="N59">
        <f>SUM(I59:L59)</f>
        <v/>
      </c>
    </row>
    <row r="60">
      <c r="H60" t="n">
        <v>2</v>
      </c>
      <c r="I60" t="n">
        <v>75</v>
      </c>
      <c r="J60" t="n">
        <v>57</v>
      </c>
      <c r="K60" t="n">
        <v>96</v>
      </c>
      <c r="L60" t="n">
        <v>73</v>
      </c>
      <c r="M60">
        <f>COUNT(I60:L60)</f>
        <v/>
      </c>
      <c r="N60">
        <f>SUM(I60:L60)</f>
        <v/>
      </c>
    </row>
    <row r="61">
      <c r="H61" t="n">
        <v>2</v>
      </c>
      <c r="I61" t="n">
        <v>68</v>
      </c>
      <c r="J61" t="n">
        <v>95</v>
      </c>
      <c r="K61" t="n">
        <v>94</v>
      </c>
      <c r="L61" t="n">
        <v>85</v>
      </c>
      <c r="M61">
        <f>COUNT(I61:L61)</f>
        <v/>
      </c>
      <c r="N61">
        <f>SUM(I61:L61)</f>
        <v/>
      </c>
    </row>
    <row r="62">
      <c r="H62" t="n">
        <v>2</v>
      </c>
      <c r="I62" t="n">
        <v>90</v>
      </c>
      <c r="J62" t="n">
        <v>58</v>
      </c>
      <c r="K62" t="n">
        <v>64</v>
      </c>
      <c r="L62" t="n">
        <v>85</v>
      </c>
      <c r="M62">
        <f>COUNT(I62:L62)</f>
        <v/>
      </c>
      <c r="N62">
        <f>SUM(I62:L62)</f>
        <v/>
      </c>
    </row>
    <row r="63">
      <c r="H63" t="n">
        <v>2</v>
      </c>
      <c r="I63" t="n">
        <v>94</v>
      </c>
      <c r="J63" t="n">
        <v>76</v>
      </c>
      <c r="K63" t="n">
        <v>88</v>
      </c>
      <c r="L63" t="n">
        <v>66</v>
      </c>
      <c r="M63">
        <f>COUNT(I63:L63)</f>
        <v/>
      </c>
      <c r="N63">
        <f>SUM(I63:L63)</f>
        <v/>
      </c>
    </row>
    <row r="64">
      <c r="H64" t="n">
        <v>2</v>
      </c>
      <c r="I64" t="n">
        <v>73</v>
      </c>
      <c r="J64" t="n">
        <v>71</v>
      </c>
      <c r="K64" t="n">
        <v>56</v>
      </c>
      <c r="L64" t="n">
        <v>94</v>
      </c>
      <c r="M64">
        <f>COUNT(I64:L64)</f>
        <v/>
      </c>
      <c r="N64">
        <f>SUM(I64:L64)</f>
        <v/>
      </c>
    </row>
    <row r="65">
      <c r="H65" t="n">
        <v>2</v>
      </c>
      <c r="I65" t="n">
        <v>94</v>
      </c>
      <c r="J65" t="n">
        <v>56</v>
      </c>
      <c r="K65" t="n">
        <v>97</v>
      </c>
      <c r="L65" t="n">
        <v>70</v>
      </c>
      <c r="M65">
        <f>COUNT(I65:L65)</f>
        <v/>
      </c>
      <c r="N65">
        <f>SUM(I65:L65)</f>
        <v/>
      </c>
    </row>
    <row r="66">
      <c r="H66" t="n">
        <v>2</v>
      </c>
      <c r="I66" t="n">
        <v>62</v>
      </c>
      <c r="J66" t="n">
        <v>99</v>
      </c>
      <c r="K66" t="n">
        <v>94</v>
      </c>
      <c r="L66" t="n">
        <v>93</v>
      </c>
      <c r="M66">
        <f>COUNT(I66:L66)</f>
        <v/>
      </c>
      <c r="N66">
        <f>SUM(I66:L66)</f>
        <v/>
      </c>
    </row>
    <row r="67">
      <c r="H67" t="n">
        <v>2</v>
      </c>
      <c r="I67" t="n">
        <v>78</v>
      </c>
      <c r="J67" t="n">
        <v>74</v>
      </c>
      <c r="K67" t="n">
        <v>62</v>
      </c>
      <c r="L67" t="n">
        <v>52</v>
      </c>
      <c r="M67">
        <f>COUNT(I67:L67)</f>
        <v/>
      </c>
      <c r="N67">
        <f>SUM(I67:L67)</f>
        <v/>
      </c>
    </row>
    <row r="68">
      <c r="H68" t="n">
        <v>2</v>
      </c>
      <c r="I68" t="n">
        <v>90</v>
      </c>
      <c r="J68" t="n">
        <v>79</v>
      </c>
      <c r="K68" t="n">
        <v>82</v>
      </c>
      <c r="L68" t="n">
        <v>62</v>
      </c>
      <c r="M68">
        <f>COUNT(I68:L68)</f>
        <v/>
      </c>
      <c r="N68">
        <f>SUM(I68:L68)</f>
        <v/>
      </c>
    </row>
    <row r="69">
      <c r="H69" t="n">
        <v>2</v>
      </c>
      <c r="I69" t="n">
        <v>89</v>
      </c>
      <c r="J69" t="n">
        <v>72</v>
      </c>
      <c r="K69" t="n">
        <v>80</v>
      </c>
      <c r="L69" t="n">
        <v>66</v>
      </c>
      <c r="M69">
        <f>COUNT(I69:L69)</f>
        <v/>
      </c>
      <c r="N69">
        <f>SUM(I69:L69)</f>
        <v/>
      </c>
    </row>
    <row r="70">
      <c r="H70" t="n">
        <v>1</v>
      </c>
      <c r="I70" t="n">
        <v>57</v>
      </c>
      <c r="J70" t="n">
        <v>65</v>
      </c>
      <c r="K70" t="n">
        <v>51</v>
      </c>
      <c r="M70">
        <f>COUNT(I70:L70)</f>
        <v/>
      </c>
      <c r="N70">
        <f>SUM(I70:L70)</f>
        <v/>
      </c>
    </row>
    <row r="71">
      <c r="H71" t="n">
        <v>1</v>
      </c>
      <c r="I71" t="n">
        <v>74</v>
      </c>
      <c r="J71" t="n">
        <v>68</v>
      </c>
      <c r="K71" t="n">
        <v>63</v>
      </c>
      <c r="M71">
        <f>COUNT(I71:L71)</f>
        <v/>
      </c>
      <c r="N71">
        <f>SUM(I71:L71)</f>
        <v/>
      </c>
    </row>
    <row r="72">
      <c r="H72" t="n">
        <v>2</v>
      </c>
      <c r="I72" t="n">
        <v>69</v>
      </c>
      <c r="J72" t="n">
        <v>65</v>
      </c>
      <c r="K72" t="n">
        <v>84</v>
      </c>
      <c r="L72" t="n">
        <v>60</v>
      </c>
      <c r="M72">
        <f>COUNT(I72:L72)</f>
        <v/>
      </c>
      <c r="N72">
        <f>SUM(I72:L72)</f>
        <v/>
      </c>
    </row>
    <row r="73">
      <c r="H73" t="n">
        <v>2</v>
      </c>
      <c r="I73" t="n">
        <v>95</v>
      </c>
      <c r="J73" t="n">
        <v>72</v>
      </c>
      <c r="K73" t="n">
        <v>61</v>
      </c>
      <c r="L73" t="n">
        <v>83</v>
      </c>
      <c r="M73">
        <f>COUNT(I73:L73)</f>
        <v/>
      </c>
      <c r="N73">
        <f>SUM(I73:L73)</f>
        <v/>
      </c>
    </row>
    <row r="74">
      <c r="H74" t="n">
        <v>2</v>
      </c>
      <c r="I74" t="n">
        <v>89</v>
      </c>
      <c r="J74" t="n">
        <v>83</v>
      </c>
      <c r="K74" t="n">
        <v>96</v>
      </c>
      <c r="L74" t="n">
        <v>66</v>
      </c>
      <c r="M74">
        <f>COUNT(I74:L74)</f>
        <v/>
      </c>
      <c r="N74">
        <f>SUM(I74:L74)</f>
        <v/>
      </c>
    </row>
    <row r="75">
      <c r="H75" t="n">
        <v>2</v>
      </c>
      <c r="I75" t="n">
        <v>54</v>
      </c>
      <c r="J75" t="n">
        <v>100</v>
      </c>
      <c r="K75" t="n">
        <v>65</v>
      </c>
      <c r="L75" t="n">
        <v>77</v>
      </c>
      <c r="M75">
        <f>COUNT(I75:L75)</f>
        <v/>
      </c>
      <c r="N75">
        <f>SUM(I75:L75)</f>
        <v/>
      </c>
    </row>
    <row r="76">
      <c r="H76" t="n">
        <v>2</v>
      </c>
      <c r="I76" t="n">
        <v>99</v>
      </c>
      <c r="J76" t="n">
        <v>76</v>
      </c>
      <c r="K76" t="n">
        <v>84</v>
      </c>
      <c r="L76" t="n">
        <v>94</v>
      </c>
      <c r="M76">
        <f>COUNT(I76:L76)</f>
        <v/>
      </c>
      <c r="N76">
        <f>SUM(I76:L76)</f>
        <v/>
      </c>
    </row>
    <row r="77">
      <c r="H77" t="n">
        <v>2</v>
      </c>
      <c r="I77" t="n">
        <v>54</v>
      </c>
      <c r="J77" t="n">
        <v>57</v>
      </c>
      <c r="K77" t="n">
        <v>86</v>
      </c>
      <c r="L77" t="n">
        <v>87</v>
      </c>
      <c r="M77">
        <f>COUNT(I77:L77)</f>
        <v/>
      </c>
      <c r="N77">
        <f>SUM(I77:L77)</f>
        <v/>
      </c>
    </row>
    <row r="78">
      <c r="H78" t="n">
        <v>2</v>
      </c>
      <c r="I78" t="n">
        <v>73</v>
      </c>
      <c r="J78" t="n">
        <v>99</v>
      </c>
      <c r="K78" t="n">
        <v>97</v>
      </c>
      <c r="L78" t="n">
        <v>52</v>
      </c>
      <c r="M78">
        <f>COUNT(I78:L78)</f>
        <v/>
      </c>
      <c r="N78">
        <f>SUM(I78:L78)</f>
        <v/>
      </c>
    </row>
    <row r="79">
      <c r="H79" t="n">
        <v>2</v>
      </c>
      <c r="I79" t="n">
        <v>82</v>
      </c>
      <c r="J79" t="n">
        <v>74</v>
      </c>
      <c r="K79" t="n">
        <v>91</v>
      </c>
      <c r="L79" t="n">
        <v>70</v>
      </c>
      <c r="M79">
        <f>COUNT(I79:L79)</f>
        <v/>
      </c>
      <c r="N79">
        <f>SUM(I79:L79)</f>
        <v/>
      </c>
    </row>
    <row r="80">
      <c r="H80" t="n">
        <v>2</v>
      </c>
      <c r="I80" t="n">
        <v>81</v>
      </c>
      <c r="J80" t="n">
        <v>65</v>
      </c>
      <c r="K80" t="n">
        <v>85</v>
      </c>
      <c r="L80" t="n">
        <v>59</v>
      </c>
      <c r="M80">
        <f>COUNT(I80:L80)</f>
        <v/>
      </c>
      <c r="N80">
        <f>SUM(I80:L80)</f>
        <v/>
      </c>
    </row>
    <row r="81">
      <c r="H81" t="n">
        <v>2</v>
      </c>
      <c r="I81" t="n">
        <v>53</v>
      </c>
      <c r="J81" t="n">
        <v>78</v>
      </c>
      <c r="K81" t="n">
        <v>74</v>
      </c>
      <c r="L81" t="n">
        <v>69</v>
      </c>
      <c r="M81">
        <f>COUNT(I81:L81)</f>
        <v/>
      </c>
      <c r="N81">
        <f>SUM(I81:L81)</f>
        <v/>
      </c>
    </row>
    <row r="82">
      <c r="H82" t="n">
        <v>2</v>
      </c>
      <c r="I82" t="n">
        <v>91</v>
      </c>
      <c r="J82" t="n">
        <v>89</v>
      </c>
      <c r="K82" t="n">
        <v>69</v>
      </c>
      <c r="L82" t="n">
        <v>75</v>
      </c>
      <c r="M82">
        <f>COUNT(I82:L82)</f>
        <v/>
      </c>
      <c r="N82">
        <f>SUM(I82:L82)</f>
        <v/>
      </c>
    </row>
    <row r="83">
      <c r="H83" t="n">
        <v>1</v>
      </c>
      <c r="I83" t="n">
        <v>89</v>
      </c>
      <c r="J83" t="n">
        <v>71</v>
      </c>
      <c r="K83" t="n">
        <v>60</v>
      </c>
      <c r="M83">
        <f>COUNT(I83:L83)</f>
        <v/>
      </c>
      <c r="N83">
        <f>SUM(I83:L83)</f>
        <v/>
      </c>
    </row>
    <row r="84">
      <c r="H84" t="n">
        <v>2</v>
      </c>
      <c r="I84" t="n">
        <v>92</v>
      </c>
      <c r="J84" t="n">
        <v>53</v>
      </c>
      <c r="K84" t="n">
        <v>93</v>
      </c>
      <c r="L84" t="n">
        <v>89</v>
      </c>
      <c r="M84">
        <f>COUNT(I84:L84)</f>
        <v/>
      </c>
      <c r="N84">
        <f>SUM(I84:L84)</f>
        <v/>
      </c>
    </row>
    <row r="85">
      <c r="H85" t="n">
        <v>1</v>
      </c>
      <c r="I85" t="n">
        <v>75</v>
      </c>
      <c r="J85" t="n">
        <v>77</v>
      </c>
      <c r="K85" t="n">
        <v>78</v>
      </c>
      <c r="M85">
        <f>COUNT(I85:L85)</f>
        <v/>
      </c>
      <c r="N85">
        <f>SUM(I85:L85)</f>
        <v/>
      </c>
    </row>
    <row r="86">
      <c r="H86" t="n">
        <v>2</v>
      </c>
      <c r="I86" t="n">
        <v>67</v>
      </c>
      <c r="J86" t="n">
        <v>72</v>
      </c>
      <c r="K86" t="n">
        <v>77</v>
      </c>
      <c r="L86" t="n">
        <v>100</v>
      </c>
      <c r="M86">
        <f>COUNT(I86:L86)</f>
        <v/>
      </c>
      <c r="N86">
        <f>SUM(I86:L86)</f>
        <v/>
      </c>
    </row>
    <row r="87">
      <c r="H87" t="n">
        <v>2</v>
      </c>
      <c r="I87" t="n">
        <v>75</v>
      </c>
      <c r="J87" t="n">
        <v>76</v>
      </c>
      <c r="K87" t="n">
        <v>62</v>
      </c>
      <c r="L87" t="n">
        <v>61</v>
      </c>
      <c r="M87">
        <f>COUNT(I87:L87)</f>
        <v/>
      </c>
      <c r="N87">
        <f>SUM(I87:L87)</f>
        <v/>
      </c>
    </row>
    <row r="88">
      <c r="H88" t="n">
        <v>1</v>
      </c>
      <c r="I88" t="n">
        <v>67</v>
      </c>
      <c r="J88" t="n">
        <v>58</v>
      </c>
      <c r="K88" t="n">
        <v>68</v>
      </c>
      <c r="M88">
        <f>COUNT(I88:L88)</f>
        <v/>
      </c>
      <c r="N88">
        <f>SUM(I88:L88)</f>
        <v/>
      </c>
    </row>
    <row r="89">
      <c r="H89" t="n">
        <v>2</v>
      </c>
      <c r="I89" t="n">
        <v>54</v>
      </c>
      <c r="J89" t="n">
        <v>92</v>
      </c>
      <c r="K89" t="n">
        <v>98</v>
      </c>
      <c r="L89" t="n">
        <v>96</v>
      </c>
      <c r="M89">
        <f>COUNT(I89:L89)</f>
        <v/>
      </c>
      <c r="N89">
        <f>SUM(I89:L89)</f>
        <v/>
      </c>
    </row>
    <row r="90">
      <c r="H90" t="n">
        <v>2</v>
      </c>
      <c r="I90" t="n">
        <v>98</v>
      </c>
      <c r="J90" t="n">
        <v>70</v>
      </c>
      <c r="K90" t="n">
        <v>100</v>
      </c>
      <c r="L90" t="n">
        <v>59</v>
      </c>
      <c r="M90">
        <f>COUNT(I90:L90)</f>
        <v/>
      </c>
      <c r="N90">
        <f>SUM(I90:L90)</f>
        <v/>
      </c>
    </row>
    <row r="91">
      <c r="H91" t="n">
        <v>1</v>
      </c>
      <c r="I91" t="n">
        <v>70</v>
      </c>
      <c r="J91" t="n">
        <v>64</v>
      </c>
      <c r="K91" t="n">
        <v>98</v>
      </c>
      <c r="M91">
        <f>COUNT(I91:L91)</f>
        <v/>
      </c>
      <c r="N91">
        <f>SUM(I91:L91)</f>
        <v/>
      </c>
    </row>
    <row r="92">
      <c r="H92" t="n">
        <v>1</v>
      </c>
      <c r="I92" t="n">
        <v>52</v>
      </c>
      <c r="J92" t="n">
        <v>86</v>
      </c>
      <c r="K92" t="n">
        <v>70</v>
      </c>
      <c r="M92">
        <f>COUNT(I92:L92)</f>
        <v/>
      </c>
      <c r="N92">
        <f>SUM(I92:L92)</f>
        <v/>
      </c>
    </row>
    <row r="93">
      <c r="H93" t="n">
        <v>2</v>
      </c>
      <c r="I93" t="n">
        <v>61</v>
      </c>
      <c r="J93" t="n">
        <v>63</v>
      </c>
      <c r="K93" t="n">
        <v>61</v>
      </c>
      <c r="L93" t="n">
        <v>63</v>
      </c>
      <c r="M93">
        <f>COUNT(I93:L93)</f>
        <v/>
      </c>
      <c r="N93">
        <f>SUM(I93:L93)</f>
        <v/>
      </c>
    </row>
    <row r="94">
      <c r="H94" t="n">
        <v>1</v>
      </c>
      <c r="I94" t="n">
        <v>69</v>
      </c>
      <c r="J94" t="n">
        <v>63</v>
      </c>
      <c r="K94" t="n">
        <v>62</v>
      </c>
      <c r="M94">
        <f>COUNT(I94:L94)</f>
        <v/>
      </c>
      <c r="N94">
        <f>SUM(I94:L94)</f>
        <v/>
      </c>
    </row>
    <row r="95">
      <c r="H95" t="n">
        <v>1</v>
      </c>
      <c r="I95" t="n">
        <v>85</v>
      </c>
      <c r="J95" t="n">
        <v>52</v>
      </c>
      <c r="K95" t="n">
        <v>89</v>
      </c>
      <c r="M95">
        <f>COUNT(I95:L95)</f>
        <v/>
      </c>
      <c r="N95">
        <f>SUM(I95:L95)</f>
        <v/>
      </c>
    </row>
    <row r="96">
      <c r="H96" t="n">
        <v>1</v>
      </c>
      <c r="I96" t="n">
        <v>74</v>
      </c>
      <c r="J96" t="n">
        <v>94</v>
      </c>
      <c r="K96" t="n">
        <v>82</v>
      </c>
      <c r="M96">
        <f>COUNT(I96:L96)</f>
        <v/>
      </c>
      <c r="N96">
        <f>SUM(I96:L96)</f>
        <v/>
      </c>
    </row>
    <row r="97">
      <c r="H97" t="n">
        <v>2</v>
      </c>
      <c r="I97" t="n">
        <v>79</v>
      </c>
      <c r="J97" t="n">
        <v>57</v>
      </c>
      <c r="K97" t="n">
        <v>84</v>
      </c>
      <c r="L97" t="n">
        <v>51</v>
      </c>
      <c r="M97">
        <f>COUNT(I97:L97)</f>
        <v/>
      </c>
      <c r="N97">
        <f>SUM(I97:L97)</f>
        <v/>
      </c>
    </row>
    <row r="98">
      <c r="H98" t="n">
        <v>2</v>
      </c>
      <c r="I98" t="n">
        <v>76</v>
      </c>
      <c r="J98" t="n">
        <v>83</v>
      </c>
      <c r="K98" t="n">
        <v>82</v>
      </c>
      <c r="L98" t="n">
        <v>91</v>
      </c>
      <c r="M98">
        <f>COUNT(I98:L98)</f>
        <v/>
      </c>
      <c r="N98">
        <f>SUM(I98:L98)</f>
        <v/>
      </c>
    </row>
    <row r="99">
      <c r="H99" t="n">
        <v>2</v>
      </c>
      <c r="I99" t="n">
        <v>73</v>
      </c>
      <c r="J99" t="n">
        <v>91</v>
      </c>
      <c r="K99" t="n">
        <v>75</v>
      </c>
      <c r="L99" t="n">
        <v>77</v>
      </c>
      <c r="M99">
        <f>COUNT(I99:L99)</f>
        <v/>
      </c>
      <c r="N99">
        <f>SUM(I99:L99)</f>
        <v/>
      </c>
    </row>
    <row r="100">
      <c r="H100" t="n">
        <v>1</v>
      </c>
      <c r="I100" t="n">
        <v>52</v>
      </c>
      <c r="J100" t="n">
        <v>96</v>
      </c>
      <c r="K100" t="n">
        <v>68</v>
      </c>
      <c r="M100">
        <f>COUNT(I100:L100)</f>
        <v/>
      </c>
      <c r="N100">
        <f>SUM(I100:L100)</f>
        <v/>
      </c>
    </row>
    <row r="101">
      <c r="H101" t="n">
        <v>2</v>
      </c>
      <c r="I101" t="n">
        <v>60</v>
      </c>
      <c r="J101" t="n">
        <v>82</v>
      </c>
      <c r="K101" t="n">
        <v>99</v>
      </c>
      <c r="L101" t="n">
        <v>74</v>
      </c>
      <c r="M101">
        <f>COUNT(I101:L101)</f>
        <v/>
      </c>
      <c r="N101">
        <f>SUM(I101:L101)</f>
        <v/>
      </c>
    </row>
    <row r="102">
      <c r="H102" t="n">
        <v>2</v>
      </c>
      <c r="I102" t="n">
        <v>94</v>
      </c>
      <c r="J102" t="n">
        <v>78</v>
      </c>
      <c r="K102" t="n">
        <v>86</v>
      </c>
      <c r="L102" t="n">
        <v>76</v>
      </c>
      <c r="M102">
        <f>COUNT(I102:L102)</f>
        <v/>
      </c>
      <c r="N102">
        <f>SUM(I102:L102)</f>
        <v/>
      </c>
    </row>
    <row r="103">
      <c r="H103" t="n">
        <v>1</v>
      </c>
      <c r="I103" t="n">
        <v>74</v>
      </c>
      <c r="J103" t="n">
        <v>99</v>
      </c>
      <c r="K103" t="n">
        <v>55</v>
      </c>
      <c r="M103">
        <f>COUNT(I103:L103)</f>
        <v/>
      </c>
      <c r="N103">
        <f>SUM(I103:L103)</f>
        <v/>
      </c>
    </row>
    <row r="104">
      <c r="H104" t="n">
        <v>1</v>
      </c>
      <c r="I104" t="n">
        <v>59</v>
      </c>
      <c r="J104" t="n">
        <v>73</v>
      </c>
      <c r="K104" t="n">
        <v>54</v>
      </c>
      <c r="M104">
        <f>COUNT(I104:L104)</f>
        <v/>
      </c>
      <c r="N104">
        <f>SUM(I104:L104)</f>
        <v/>
      </c>
    </row>
    <row r="105">
      <c r="H105" t="n">
        <v>2</v>
      </c>
      <c r="I105" t="n">
        <v>78</v>
      </c>
      <c r="J105" t="n">
        <v>56</v>
      </c>
      <c r="K105" t="n">
        <v>54</v>
      </c>
      <c r="L105" t="n">
        <v>51</v>
      </c>
      <c r="M105">
        <f>COUNT(I105:L105)</f>
        <v/>
      </c>
      <c r="N105">
        <f>SUM(I105:L105)</f>
        <v/>
      </c>
    </row>
    <row r="106">
      <c r="H106" t="n">
        <v>1</v>
      </c>
      <c r="I106" t="n">
        <v>52</v>
      </c>
      <c r="J106" t="n">
        <v>58</v>
      </c>
      <c r="K106" t="n">
        <v>94</v>
      </c>
      <c r="M106">
        <f>COUNT(I106:L106)</f>
        <v/>
      </c>
      <c r="N106">
        <f>SUM(I106:L106)</f>
        <v/>
      </c>
    </row>
    <row r="107">
      <c r="H107" t="n">
        <v>2</v>
      </c>
      <c r="I107" t="n">
        <v>90</v>
      </c>
      <c r="J107" t="n">
        <v>97</v>
      </c>
      <c r="K107" t="n">
        <v>92</v>
      </c>
      <c r="L107" t="n">
        <v>98</v>
      </c>
      <c r="M107">
        <f>COUNT(I107:L107)</f>
        <v/>
      </c>
      <c r="N107">
        <f>SUM(I107:L107)</f>
        <v/>
      </c>
    </row>
    <row r="108">
      <c r="H108" t="n">
        <v>1</v>
      </c>
      <c r="I108" t="n">
        <v>52</v>
      </c>
      <c r="J108" t="n">
        <v>88</v>
      </c>
      <c r="K108" t="n">
        <v>65</v>
      </c>
      <c r="M108">
        <f>COUNT(I108:L108)</f>
        <v/>
      </c>
      <c r="N108">
        <f>SUM(I108:L108)</f>
        <v/>
      </c>
    </row>
    <row r="109">
      <c r="H109" t="n">
        <v>2</v>
      </c>
      <c r="I109" t="n">
        <v>81</v>
      </c>
      <c r="J109" t="n">
        <v>91</v>
      </c>
      <c r="K109" t="n">
        <v>64</v>
      </c>
      <c r="L109" t="n">
        <v>80</v>
      </c>
      <c r="M109">
        <f>COUNT(I109:L109)</f>
        <v/>
      </c>
      <c r="N109">
        <f>SUM(I109:L109)</f>
        <v/>
      </c>
    </row>
    <row r="110">
      <c r="H110" t="n">
        <v>1</v>
      </c>
      <c r="I110" t="n">
        <v>78</v>
      </c>
      <c r="J110" t="n">
        <v>92</v>
      </c>
      <c r="K110" t="n">
        <v>85</v>
      </c>
      <c r="M110">
        <f>COUNT(I110:L110)</f>
        <v/>
      </c>
      <c r="N110">
        <f>SUM(I110:L110)</f>
        <v/>
      </c>
    </row>
    <row r="111">
      <c r="H111" t="n">
        <v>1</v>
      </c>
      <c r="I111" t="n">
        <v>66</v>
      </c>
      <c r="J111" t="n">
        <v>76</v>
      </c>
      <c r="K111" t="n">
        <v>56</v>
      </c>
      <c r="M111">
        <f>COUNT(I111:L111)</f>
        <v/>
      </c>
      <c r="N111">
        <f>SUM(I111:L111)</f>
        <v/>
      </c>
    </row>
    <row r="112">
      <c r="H112" t="n">
        <v>2</v>
      </c>
      <c r="I112" t="n">
        <v>72</v>
      </c>
      <c r="J112" t="n">
        <v>54</v>
      </c>
      <c r="K112" t="n">
        <v>99</v>
      </c>
      <c r="L112" t="n">
        <v>94</v>
      </c>
      <c r="M112">
        <f>COUNT(I112:L112)</f>
        <v/>
      </c>
      <c r="N112">
        <f>SUM(I112:L112)</f>
        <v/>
      </c>
    </row>
    <row r="113">
      <c r="H113" t="n">
        <v>1</v>
      </c>
      <c r="I113" t="n">
        <v>74</v>
      </c>
      <c r="J113" t="n">
        <v>60</v>
      </c>
      <c r="K113" t="n">
        <v>70</v>
      </c>
      <c r="M113">
        <f>COUNT(I113:L113)</f>
        <v/>
      </c>
      <c r="N113">
        <f>SUM(I113:L113)</f>
        <v/>
      </c>
    </row>
    <row r="114">
      <c r="H114" t="n">
        <v>2</v>
      </c>
      <c r="I114" t="n">
        <v>82</v>
      </c>
      <c r="J114" t="n">
        <v>89</v>
      </c>
      <c r="K114" t="n">
        <v>59</v>
      </c>
      <c r="L114" t="n">
        <v>93</v>
      </c>
      <c r="M114">
        <f>COUNT(I114:L114)</f>
        <v/>
      </c>
      <c r="N114">
        <f>SUM(I114:L114)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2026-09-29T00:32:56Z</dcterms:created>
  <dcterms:modified xsi:type="dcterms:W3CDTF">2026-09-29T00:32:56Z</dcterms:modified>
</cp:coreProperties>
</file>