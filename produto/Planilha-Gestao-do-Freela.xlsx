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Precificação" sheetId="2" state="visible" r:id="rId2"/>
    <sheet xmlns:r="http://schemas.openxmlformats.org/officeDocument/2006/relationships" name="Pacotes" sheetId="3" state="visible" r:id="rId3"/>
    <sheet xmlns:r="http://schemas.openxmlformats.org/officeDocument/2006/relationships" name="Clientes (CRM)" sheetId="4" state="visible" r:id="rId4"/>
    <sheet xmlns:r="http://schemas.openxmlformats.org/officeDocument/2006/relationships" name="Caix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R$&quot; #,##0.00"/>
    <numFmt numFmtId="165" formatCode="0.0"/>
    <numFmt numFmtId="166" formatCode="DD/MM/YYYY"/>
    <numFmt numFmtId="167" formatCode="yyyy-mm-dd"/>
  </numFmts>
  <fonts count="5">
    <font>
      <name val="Calibri"/>
      <family val="2"/>
      <color theme="1"/>
      <sz val="11"/>
      <scheme val="minor"/>
    </font>
    <font>
      <b val="1"/>
      <color rgb="005B3DF5"/>
      <sz val="16"/>
    </font>
    <font>
      <b val="1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5B3DF5"/>
      </patternFill>
    </fill>
    <fill>
      <patternFill patternType="solid">
        <fgColor rgb="00FFF3BF"/>
      </patternFill>
    </fill>
    <fill>
      <patternFill patternType="solid">
        <fgColor rgb="00E9FBF4"/>
      </patternFill>
    </fill>
  </fills>
  <borders count="2">
    <border>
      <left/>
      <right/>
      <top/>
      <bottom/>
      <diagonal/>
    </border>
    <border>
      <left style="thin">
        <color rgb="00D9D6EA"/>
      </left>
      <right style="thin">
        <color rgb="00D9D6EA"/>
      </right>
      <top style="thin">
        <color rgb="00D9D6EA"/>
      </top>
      <bottom style="thin">
        <color rgb="00D9D6E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164" fontId="0" fillId="3" borderId="1" pivotButton="0" quotePrefix="0" xfId="0"/>
    <xf numFmtId="0" fontId="2" fillId="0" borderId="1" pivotButton="0" quotePrefix="0" xfId="0"/>
    <xf numFmtId="164" fontId="2" fillId="4" borderId="1" pivotButton="0" quotePrefix="0" xfId="0"/>
    <xf numFmtId="1" fontId="0" fillId="3" borderId="1" pivotButton="0" quotePrefix="0" xfId="0"/>
    <xf numFmtId="9" fontId="0" fillId="3" borderId="1" pivotButton="0" quotePrefix="0" xfId="0"/>
    <xf numFmtId="165" fontId="0" fillId="4" borderId="1" pivotButton="0" quotePrefix="0" xfId="0"/>
    <xf numFmtId="164" fontId="4" fillId="4" borderId="1" pivotButton="0" quotePrefix="0" xfId="0"/>
    <xf numFmtId="164" fontId="0" fillId="4" borderId="1" pivotButton="0" quotePrefix="0" xfId="0"/>
    <xf numFmtId="0" fontId="3" fillId="2" borderId="0" applyAlignment="1" pivotButton="0" quotePrefix="0" xfId="0">
      <alignment vertical="center" wrapText="1"/>
    </xf>
    <xf numFmtId="0" fontId="0" fillId="3" borderId="1" pivotButton="0" quotePrefix="0" xfId="0"/>
    <xf numFmtId="0" fontId="3" fillId="2" borderId="0" pivotButton="0" quotePrefix="0" xfId="0"/>
    <xf numFmtId="166" fontId="0" fillId="0" borderId="0" pivotButton="0" quotePrefix="0" xfId="0"/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9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Planilha de Gestão do Freela — Kit Freela Digital com IA</t>
        </is>
      </c>
    </row>
    <row r="3">
      <c r="A3" s="2" t="inlineStr">
        <is>
          <t>Como usar:</t>
        </is>
      </c>
    </row>
    <row r="4">
      <c r="A4" t="inlineStr">
        <is>
          <t>1. Precificação: preencha as células AMARELAS com seus custos, pró-labore e horas. O valor hora mínimo é calculado automaticamente.</t>
        </is>
      </c>
    </row>
    <row r="5">
      <c r="A5" t="inlineStr">
        <is>
          <t>2. Pacotes: informe as horas estimadas de cada pacote. O preço sugerido considera seu valor hora, margem e impostos/taxas.</t>
        </is>
      </c>
    </row>
    <row r="6">
      <c r="A6" t="inlineStr">
        <is>
          <t>3. Clientes (CRM): registre cada potencial cliente, a etapa do funil e a data do próximo contato.</t>
        </is>
      </c>
    </row>
    <row r="7">
      <c r="A7" t="inlineStr">
        <is>
          <t>4. Caixa: lance entradas e saídas do mês. O resumo mostra o saldo e o total por categoria.</t>
        </is>
      </c>
    </row>
    <row r="8">
      <c r="A8" t="inlineStr"/>
    </row>
    <row r="9">
      <c r="A9" t="inlineStr">
        <is>
          <t>Legenda: células amarelas = você preenche · células verdes = resultado automático.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</cols>
  <sheetData>
    <row r="1">
      <c r="A1" s="1" t="inlineStr">
        <is>
          <t>Precificação — valor hora mínimo</t>
        </is>
      </c>
    </row>
    <row r="3">
      <c r="A3" s="3" t="inlineStr">
        <is>
          <t>Custos fixos mensais</t>
        </is>
      </c>
      <c r="B3" s="3" t="inlineStr">
        <is>
          <t>Valor</t>
        </is>
      </c>
    </row>
    <row r="4">
      <c r="A4" s="4" t="inlineStr">
        <is>
          <t>Internet</t>
        </is>
      </c>
      <c r="B4" s="5" t="n">
        <v>100</v>
      </c>
    </row>
    <row r="5">
      <c r="A5" s="4" t="inlineStr">
        <is>
          <t>Energia (parte do trabalho)</t>
        </is>
      </c>
      <c r="B5" s="5" t="n">
        <v>60</v>
      </c>
    </row>
    <row r="6">
      <c r="A6" s="4" t="inlineStr">
        <is>
          <t>Ferramentas de IA</t>
        </is>
      </c>
      <c r="B6" s="5" t="n">
        <v>100</v>
      </c>
    </row>
    <row r="7">
      <c r="A7" s="4" t="inlineStr">
        <is>
          <t>Canva / design</t>
        </is>
      </c>
      <c r="B7" s="5" t="n">
        <v>35</v>
      </c>
    </row>
    <row r="8">
      <c r="A8" s="4" t="inlineStr">
        <is>
          <t>Celular</t>
        </is>
      </c>
      <c r="B8" s="5" t="n">
        <v>50</v>
      </c>
    </row>
    <row r="9">
      <c r="A9" s="4" t="inlineStr">
        <is>
          <t>DAS do MEI</t>
        </is>
      </c>
      <c r="B9" s="5" t="n">
        <v>80</v>
      </c>
    </row>
    <row r="10">
      <c r="A10" s="4" t="inlineStr">
        <is>
          <t>Outros</t>
        </is>
      </c>
      <c r="B10" s="5" t="n">
        <v>0</v>
      </c>
    </row>
    <row r="11">
      <c r="A11" s="6" t="inlineStr">
        <is>
          <t>Total de custos fixos</t>
        </is>
      </c>
      <c r="B11" s="7">
        <f>SUM(B4:B10)</f>
        <v/>
      </c>
    </row>
    <row r="12"/>
    <row r="13">
      <c r="A13" s="6" t="inlineStr">
        <is>
          <t>Parâmetros</t>
        </is>
      </c>
    </row>
    <row r="14">
      <c r="A14" s="4" t="inlineStr">
        <is>
          <t>Pró-labore desejado (R$/mês)</t>
        </is>
      </c>
      <c r="B14" s="5" t="n">
        <v>3000</v>
      </c>
    </row>
    <row r="15">
      <c r="A15" s="4" t="inlineStr">
        <is>
          <t>Horas de trabalho por dia</t>
        </is>
      </c>
      <c r="B15" s="8" t="n">
        <v>6</v>
      </c>
    </row>
    <row r="16">
      <c r="A16" s="4" t="inlineStr">
        <is>
          <t>Dias de trabalho por mês</t>
        </is>
      </c>
      <c r="B16" s="8" t="n">
        <v>22</v>
      </c>
    </row>
    <row r="17">
      <c r="A17" s="4" t="inlineStr">
        <is>
          <t>% do tempo faturável (produção para clientes)</t>
        </is>
      </c>
      <c r="B17" s="9" t="n">
        <v>0.65</v>
      </c>
    </row>
    <row r="18">
      <c r="A18" s="4" t="inlineStr">
        <is>
          <t>Margem de lucro desejada</t>
        </is>
      </c>
      <c r="B18" s="9" t="n">
        <v>0.3</v>
      </c>
    </row>
    <row r="19">
      <c r="A19" s="4" t="inlineStr">
        <is>
          <t>Impostos e taxas sobre o preço</t>
        </is>
      </c>
      <c r="B19" s="9" t="n">
        <v>0.06</v>
      </c>
    </row>
    <row r="20"/>
    <row r="21">
      <c r="A21" s="6" t="inlineStr">
        <is>
          <t>Resultados</t>
        </is>
      </c>
    </row>
    <row r="22">
      <c r="A22" s="4" t="inlineStr">
        <is>
          <t>Horas faturáveis por mês</t>
        </is>
      </c>
      <c r="B22" s="10">
        <f>B15*B16*B17</f>
        <v/>
      </c>
    </row>
    <row r="23">
      <c r="A23" s="6" t="inlineStr">
        <is>
          <t>VALOR HORA MÍNIMO</t>
        </is>
      </c>
      <c r="B23" s="11">
        <f>IF(B22&gt;0,(B11+B14)/B22,0)</f>
        <v/>
      </c>
    </row>
    <row r="24">
      <c r="A24" s="4" t="inlineStr">
        <is>
          <t>Valor hora com margem e impostos</t>
        </is>
      </c>
      <c r="B24" s="12">
        <f>B23*(1+B18)/(1-B19)</f>
        <v/>
      </c>
    </row>
    <row r="25">
      <c r="A25" s="4" t="inlineStr">
        <is>
          <t>Faturamento necessário no mês</t>
        </is>
      </c>
      <c r="B25" s="12">
        <f>B24*B22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14" customWidth="1" min="3" max="3"/>
    <col width="20" customWidth="1" min="4" max="4"/>
    <col width="16" customWidth="1" min="5" max="5"/>
    <col width="18" customWidth="1" min="6" max="6"/>
    <col width="16" customWidth="1" min="7" max="7"/>
  </cols>
  <sheetData>
    <row r="1">
      <c r="A1" s="1" t="inlineStr">
        <is>
          <t>Preço dos pacotes</t>
        </is>
      </c>
    </row>
    <row r="2">
      <c r="A2" t="inlineStr">
        <is>
          <t>Preencha as horas estimadas por mês/projeto. O preço usa os parâmetros da aba Precificação.</t>
        </is>
      </c>
    </row>
    <row r="4" ht="32" customHeight="1">
      <c r="A4" s="13" t="inlineStr">
        <is>
          <t>Pacote</t>
        </is>
      </c>
      <c r="B4" s="13" t="inlineStr">
        <is>
          <t>Entregáveis (resumo)</t>
        </is>
      </c>
      <c r="C4" s="13" t="inlineStr">
        <is>
          <t>Horas estimadas</t>
        </is>
      </c>
      <c r="D4" s="13" t="inlineStr">
        <is>
          <t>Custo (horas × valor hora)</t>
        </is>
      </c>
      <c r="E4" s="13" t="inlineStr">
        <is>
          <t>Preço sugerido</t>
        </is>
      </c>
      <c r="F4" s="13" t="inlineStr">
        <is>
          <t>Preço que vou cobrar</t>
        </is>
      </c>
      <c r="G4" s="13" t="inlineStr">
        <is>
          <t>Lucro estimado</t>
        </is>
      </c>
    </row>
    <row r="5">
      <c r="A5" s="14" t="inlineStr">
        <is>
          <t>Oferta de entrada</t>
        </is>
      </c>
      <c r="B5" s="14" t="inlineStr">
        <is>
          <t>Diagnóstico + 5 artes</t>
        </is>
      </c>
      <c r="C5" s="14" t="n">
        <v>4</v>
      </c>
      <c r="D5" s="12">
        <f>C5*Precificação!B23</f>
        <v/>
      </c>
      <c r="E5" s="12">
        <f>ROUNDUP(C5*Precificação!B23*(1+Precificação!B18)/(1-Precificação!B19),-1)-0.1</f>
        <v/>
      </c>
      <c r="F5" s="5">
        <f>E5</f>
        <v/>
      </c>
      <c r="G5" s="12">
        <f>F5*(1-Precificação!B19)-D5</f>
        <v/>
      </c>
    </row>
    <row r="6">
      <c r="A6" s="14" t="inlineStr">
        <is>
          <t>Essencial</t>
        </is>
      </c>
      <c r="B6" s="14" t="inlineStr">
        <is>
          <t>8 posts/mês + legendas</t>
        </is>
      </c>
      <c r="C6" s="14" t="n">
        <v>10</v>
      </c>
      <c r="D6" s="12">
        <f>C6*Precificação!B23</f>
        <v/>
      </c>
      <c r="E6" s="12">
        <f>ROUNDUP(C6*Precificação!B23*(1+Precificação!B18)/(1-Precificação!B19),-1)-0.1</f>
        <v/>
      </c>
      <c r="F6" s="5">
        <f>E6</f>
        <v/>
      </c>
      <c r="G6" s="12">
        <f>F6*(1-Precificação!B19)-D6</f>
        <v/>
      </c>
    </row>
    <row r="7">
      <c r="A7" s="14" t="inlineStr">
        <is>
          <t>Profissional</t>
        </is>
      </c>
      <c r="B7" s="14" t="inlineStr">
        <is>
          <t>12 posts + stories 3x/sem + 2 reels + relatório</t>
        </is>
      </c>
      <c r="C7" s="14" t="n">
        <v>18</v>
      </c>
      <c r="D7" s="12">
        <f>C7*Precificação!B23</f>
        <v/>
      </c>
      <c r="E7" s="12">
        <f>ROUNDUP(C7*Precificação!B23*(1+Precificação!B18)/(1-Precificação!B19),-1)-0.1</f>
        <v/>
      </c>
      <c r="F7" s="5">
        <f>E7</f>
        <v/>
      </c>
      <c r="G7" s="12">
        <f>F7*(1-Precificação!B19)-D7</f>
        <v/>
      </c>
    </row>
    <row r="8">
      <c r="A8" s="14" t="inlineStr">
        <is>
          <t>Completo</t>
        </is>
      </c>
      <c r="B8" s="14" t="inlineStr">
        <is>
          <t>16 posts + stories 5x/sem + 4 reels + reunião</t>
        </is>
      </c>
      <c r="C8" s="14" t="n">
        <v>28</v>
      </c>
      <c r="D8" s="12">
        <f>C8*Precificação!B23</f>
        <v/>
      </c>
      <c r="E8" s="12">
        <f>ROUNDUP(C8*Precificação!B23*(1+Precificação!B18)/(1-Precificação!B19),-1)-0.1</f>
        <v/>
      </c>
      <c r="F8" s="5">
        <f>E8</f>
        <v/>
      </c>
      <c r="G8" s="12">
        <f>F8*(1-Precificação!B19)-D8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15" customWidth="1" min="7" max="7"/>
    <col width="14" customWidth="1" min="8" max="8"/>
    <col width="14" customWidth="1" min="9" max="9"/>
    <col width="34" customWidth="1" min="10" max="10"/>
    <col width="10" customWidth="1" min="11" max="11"/>
    <col width="2" customWidth="1" min="12" max="12"/>
    <col width="28" customWidth="1" min="13" max="13"/>
    <col width="14" customWidth="1" min="14" max="14"/>
  </cols>
  <sheetData>
    <row r="1">
      <c r="A1" s="1" t="inlineStr">
        <is>
          <t>Clientes e prospecção</t>
        </is>
      </c>
    </row>
    <row r="2">
      <c r="A2" t="inlineStr">
        <is>
          <t>Etapas: Lead → Abordado → Respondeu → Diagnóstico → Proposta enviada → Fechado → Perdido</t>
        </is>
      </c>
    </row>
    <row r="4">
      <c r="A4" s="15" t="inlineStr">
        <is>
          <t>Empresa</t>
        </is>
      </c>
      <c r="B4" s="15" t="inlineStr">
        <is>
          <t>Contato</t>
        </is>
      </c>
      <c r="C4" s="15" t="inlineStr">
        <is>
          <t>Nicho</t>
        </is>
      </c>
      <c r="D4" s="15" t="inlineStr">
        <is>
          <t>Canal</t>
        </is>
      </c>
      <c r="E4" s="15" t="inlineStr">
        <is>
          <t>Etapa</t>
        </is>
      </c>
      <c r="F4" s="15" t="inlineStr">
        <is>
          <t>Último contato</t>
        </is>
      </c>
      <c r="G4" s="15" t="inlineStr">
        <is>
          <t>Próximo contato</t>
        </is>
      </c>
      <c r="H4" s="15" t="inlineStr">
        <is>
          <t>Pacote</t>
        </is>
      </c>
      <c r="I4" s="15" t="inlineStr">
        <is>
          <t>Valor mensal</t>
        </is>
      </c>
      <c r="J4" s="15" t="inlineStr">
        <is>
          <t>Observações</t>
        </is>
      </c>
      <c r="K4" s="15" t="inlineStr">
        <is>
          <t>Atrasado?</t>
        </is>
      </c>
      <c r="M4" s="15" t="inlineStr">
        <is>
          <t>Resumo do funil</t>
        </is>
      </c>
      <c r="N4" s="15" t="inlineStr">
        <is>
          <t>Qtd.</t>
        </is>
      </c>
    </row>
    <row r="5">
      <c r="A5" t="inlineStr">
        <is>
          <t>Clínica Sorriso (exemplo)</t>
        </is>
      </c>
      <c r="B5" t="inlineStr">
        <is>
          <t>Dra. Ana</t>
        </is>
      </c>
      <c r="C5" t="inlineStr">
        <is>
          <t>Odontologia</t>
        </is>
      </c>
      <c r="D5" t="inlineStr">
        <is>
          <t>Instagram</t>
        </is>
      </c>
      <c r="E5" t="inlineStr">
        <is>
          <t>Proposta enviada</t>
        </is>
      </c>
      <c r="F5" s="16" t="n">
        <v>46296</v>
      </c>
      <c r="G5" s="16" t="n">
        <v>46299</v>
      </c>
      <c r="H5" t="inlineStr">
        <is>
          <t>Profissional</t>
        </is>
      </c>
      <c r="I5" s="17" t="n">
        <v>890</v>
      </c>
      <c r="J5" t="inlineStr">
        <is>
          <t>Pediu para retornar na sexta</t>
        </is>
      </c>
      <c r="K5">
        <f>IF(AND(G5&lt;&gt;"",E5&lt;&gt;"Fechado",E5&lt;&gt;"Perdido",G5&lt;TODAY()),"SIM","")</f>
        <v/>
      </c>
      <c r="M5" t="inlineStr">
        <is>
          <t>Lead</t>
        </is>
      </c>
      <c r="N5" s="18">
        <f>COUNTIF($E$5:$E$300,M5)</f>
        <v/>
      </c>
    </row>
    <row r="6">
      <c r="F6" s="16" t="n"/>
      <c r="G6" s="16" t="n"/>
      <c r="I6" s="17" t="n"/>
      <c r="K6">
        <f>IF(AND(G6&lt;&gt;"",E6&lt;&gt;"Fechado",E6&lt;&gt;"Perdido",G6&lt;TODAY()),"SIM","")</f>
        <v/>
      </c>
      <c r="M6" t="inlineStr">
        <is>
          <t>Abordado</t>
        </is>
      </c>
      <c r="N6" s="18">
        <f>COUNTIF($E$5:$E$300,M6)</f>
        <v/>
      </c>
    </row>
    <row r="7">
      <c r="F7" s="16" t="n"/>
      <c r="G7" s="16" t="n"/>
      <c r="I7" s="17" t="n"/>
      <c r="K7">
        <f>IF(AND(G7&lt;&gt;"",E7&lt;&gt;"Fechado",E7&lt;&gt;"Perdido",G7&lt;TODAY()),"SIM","")</f>
        <v/>
      </c>
      <c r="M7" t="inlineStr">
        <is>
          <t>Respondeu</t>
        </is>
      </c>
      <c r="N7" s="18">
        <f>COUNTIF($E$5:$E$300,M7)</f>
        <v/>
      </c>
    </row>
    <row r="8">
      <c r="F8" s="16" t="n"/>
      <c r="G8" s="16" t="n"/>
      <c r="I8" s="17" t="n"/>
      <c r="K8">
        <f>IF(AND(G8&lt;&gt;"",E8&lt;&gt;"Fechado",E8&lt;&gt;"Perdido",G8&lt;TODAY()),"SIM","")</f>
        <v/>
      </c>
      <c r="M8" t="inlineStr">
        <is>
          <t>Diagnóstico</t>
        </is>
      </c>
      <c r="N8" s="18">
        <f>COUNTIF($E$5:$E$300,M8)</f>
        <v/>
      </c>
    </row>
    <row r="9">
      <c r="F9" s="16" t="n"/>
      <c r="G9" s="16" t="n"/>
      <c r="I9" s="17" t="n"/>
      <c r="K9">
        <f>IF(AND(G9&lt;&gt;"",E9&lt;&gt;"Fechado",E9&lt;&gt;"Perdido",G9&lt;TODAY()),"SIM","")</f>
        <v/>
      </c>
      <c r="M9" t="inlineStr">
        <is>
          <t>Proposta enviada</t>
        </is>
      </c>
      <c r="N9" s="18">
        <f>COUNTIF($E$5:$E$300,M9)</f>
        <v/>
      </c>
    </row>
    <row r="10">
      <c r="F10" s="16" t="n"/>
      <c r="G10" s="16" t="n"/>
      <c r="I10" s="17" t="n"/>
      <c r="K10">
        <f>IF(AND(G10&lt;&gt;"",E10&lt;&gt;"Fechado",E10&lt;&gt;"Perdido",G10&lt;TODAY()),"SIM","")</f>
        <v/>
      </c>
      <c r="M10" t="inlineStr">
        <is>
          <t>Fechado</t>
        </is>
      </c>
      <c r="N10" s="18">
        <f>COUNTIF($E$5:$E$300,M10)</f>
        <v/>
      </c>
    </row>
    <row r="11">
      <c r="F11" s="16" t="n"/>
      <c r="G11" s="16" t="n"/>
      <c r="I11" s="17" t="n"/>
      <c r="K11">
        <f>IF(AND(G11&lt;&gt;"",E11&lt;&gt;"Fechado",E11&lt;&gt;"Perdido",G11&lt;TODAY()),"SIM","")</f>
        <v/>
      </c>
      <c r="M11" t="inlineStr">
        <is>
          <t>Perdido</t>
        </is>
      </c>
      <c r="N11" s="18">
        <f>COUNTIF($E$5:$E$300,M11)</f>
        <v/>
      </c>
    </row>
    <row r="12">
      <c r="F12" s="16" t="n"/>
      <c r="G12" s="16" t="n"/>
      <c r="I12" s="17" t="n"/>
      <c r="K12">
        <f>IF(AND(G12&lt;&gt;"",E12&lt;&gt;"Fechado",E12&lt;&gt;"Perdido",G12&lt;TODAY()),"SIM","")</f>
        <v/>
      </c>
    </row>
    <row r="13">
      <c r="F13" s="16" t="n"/>
      <c r="G13" s="16" t="n"/>
      <c r="I13" s="17" t="n"/>
      <c r="K13">
        <f>IF(AND(G13&lt;&gt;"",E13&lt;&gt;"Fechado",E13&lt;&gt;"Perdido",G13&lt;TODAY()),"SIM","")</f>
        <v/>
      </c>
      <c r="M13" s="2" t="inlineStr">
        <is>
          <t>Receita recorrente (fechados)</t>
        </is>
      </c>
      <c r="N13" s="19">
        <f>SUMIF($E$5:$E$300,"Fechado",$I$5:$I$300)</f>
        <v/>
      </c>
    </row>
    <row r="14">
      <c r="F14" s="16" t="n"/>
      <c r="G14" s="16" t="n"/>
      <c r="I14" s="17" t="n"/>
      <c r="K14">
        <f>IF(AND(G14&lt;&gt;"",E14&lt;&gt;"Fechado",E14&lt;&gt;"Perdido",G14&lt;TODAY()),"SIM","")</f>
        <v/>
      </c>
    </row>
    <row r="15">
      <c r="F15" s="16" t="n"/>
      <c r="G15" s="16" t="n"/>
      <c r="I15" s="17" t="n"/>
      <c r="K15">
        <f>IF(AND(G15&lt;&gt;"",E15&lt;&gt;"Fechado",E15&lt;&gt;"Perdido",G15&lt;TODAY()),"SIM","")</f>
        <v/>
      </c>
    </row>
    <row r="16">
      <c r="F16" s="16" t="n"/>
      <c r="G16" s="16" t="n"/>
      <c r="I16" s="17" t="n"/>
      <c r="K16">
        <f>IF(AND(G16&lt;&gt;"",E16&lt;&gt;"Fechado",E16&lt;&gt;"Perdido",G16&lt;TODAY()),"SIM","")</f>
        <v/>
      </c>
    </row>
    <row r="17">
      <c r="F17" s="16" t="n"/>
      <c r="G17" s="16" t="n"/>
      <c r="I17" s="17" t="n"/>
      <c r="K17">
        <f>IF(AND(G17&lt;&gt;"",E17&lt;&gt;"Fechado",E17&lt;&gt;"Perdido",G17&lt;TODAY()),"SIM","")</f>
        <v/>
      </c>
    </row>
    <row r="18">
      <c r="F18" s="16" t="n"/>
      <c r="G18" s="16" t="n"/>
      <c r="I18" s="17" t="n"/>
      <c r="K18">
        <f>IF(AND(G18&lt;&gt;"",E18&lt;&gt;"Fechado",E18&lt;&gt;"Perdido",G18&lt;TODAY()),"SIM","")</f>
        <v/>
      </c>
    </row>
    <row r="19">
      <c r="F19" s="16" t="n"/>
      <c r="G19" s="16" t="n"/>
      <c r="I19" s="17" t="n"/>
      <c r="K19">
        <f>IF(AND(G19&lt;&gt;"",E19&lt;&gt;"Fechado",E19&lt;&gt;"Perdido",G19&lt;TODAY()),"SIM","")</f>
        <v/>
      </c>
    </row>
    <row r="20">
      <c r="F20" s="16" t="n"/>
      <c r="G20" s="16" t="n"/>
      <c r="I20" s="17" t="n"/>
      <c r="K20">
        <f>IF(AND(G20&lt;&gt;"",E20&lt;&gt;"Fechado",E20&lt;&gt;"Perdido",G20&lt;TODAY()),"SIM","")</f>
        <v/>
      </c>
    </row>
    <row r="21">
      <c r="F21" s="16" t="n"/>
      <c r="G21" s="16" t="n"/>
      <c r="I21" s="17" t="n"/>
      <c r="K21">
        <f>IF(AND(G21&lt;&gt;"",E21&lt;&gt;"Fechado",E21&lt;&gt;"Perdido",G21&lt;TODAY()),"SIM","")</f>
        <v/>
      </c>
    </row>
    <row r="22">
      <c r="F22" s="16" t="n"/>
      <c r="G22" s="16" t="n"/>
      <c r="I22" s="17" t="n"/>
      <c r="K22">
        <f>IF(AND(G22&lt;&gt;"",E22&lt;&gt;"Fechado",E22&lt;&gt;"Perdido",G22&lt;TODAY()),"SIM","")</f>
        <v/>
      </c>
    </row>
    <row r="23">
      <c r="F23" s="16" t="n"/>
      <c r="G23" s="16" t="n"/>
      <c r="I23" s="17" t="n"/>
      <c r="K23">
        <f>IF(AND(G23&lt;&gt;"",E23&lt;&gt;"Fechado",E23&lt;&gt;"Perdido",G23&lt;TODAY()),"SIM","")</f>
        <v/>
      </c>
    </row>
    <row r="24">
      <c r="F24" s="16" t="n"/>
      <c r="G24" s="16" t="n"/>
      <c r="I24" s="17" t="n"/>
      <c r="K24">
        <f>IF(AND(G24&lt;&gt;"",E24&lt;&gt;"Fechado",E24&lt;&gt;"Perdido",G24&lt;TODAY()),"SIM","")</f>
        <v/>
      </c>
    </row>
    <row r="25">
      <c r="F25" s="16" t="n"/>
      <c r="G25" s="16" t="n"/>
      <c r="I25" s="17" t="n"/>
      <c r="K25">
        <f>IF(AND(G25&lt;&gt;"",E25&lt;&gt;"Fechado",E25&lt;&gt;"Perdido",G25&lt;TODAY()),"SIM","")</f>
        <v/>
      </c>
    </row>
    <row r="26">
      <c r="F26" s="16" t="n"/>
      <c r="G26" s="16" t="n"/>
      <c r="I26" s="17" t="n"/>
      <c r="K26">
        <f>IF(AND(G26&lt;&gt;"",E26&lt;&gt;"Fechado",E26&lt;&gt;"Perdido",G26&lt;TODAY()),"SIM","")</f>
        <v/>
      </c>
    </row>
    <row r="27">
      <c r="F27" s="16" t="n"/>
      <c r="G27" s="16" t="n"/>
      <c r="I27" s="17" t="n"/>
      <c r="K27">
        <f>IF(AND(G27&lt;&gt;"",E27&lt;&gt;"Fechado",E27&lt;&gt;"Perdido",G27&lt;TODAY()),"SIM","")</f>
        <v/>
      </c>
    </row>
    <row r="28">
      <c r="F28" s="16" t="n"/>
      <c r="G28" s="16" t="n"/>
      <c r="I28" s="17" t="n"/>
      <c r="K28">
        <f>IF(AND(G28&lt;&gt;"",E28&lt;&gt;"Fechado",E28&lt;&gt;"Perdido",G28&lt;TODAY()),"SIM","")</f>
        <v/>
      </c>
    </row>
    <row r="29">
      <c r="F29" s="16" t="n"/>
      <c r="G29" s="16" t="n"/>
      <c r="I29" s="17" t="n"/>
      <c r="K29">
        <f>IF(AND(G29&lt;&gt;"",E29&lt;&gt;"Fechado",E29&lt;&gt;"Perdido",G29&lt;TODAY()),"SIM","")</f>
        <v/>
      </c>
    </row>
    <row r="30">
      <c r="F30" s="16" t="n"/>
      <c r="G30" s="16" t="n"/>
      <c r="I30" s="17" t="n"/>
      <c r="K30">
        <f>IF(AND(G30&lt;&gt;"",E30&lt;&gt;"Fechado",E30&lt;&gt;"Perdido",G30&lt;TODAY()),"SIM","")</f>
        <v/>
      </c>
    </row>
    <row r="31">
      <c r="F31" s="16" t="n"/>
      <c r="G31" s="16" t="n"/>
      <c r="I31" s="17" t="n"/>
      <c r="K31">
        <f>IF(AND(G31&lt;&gt;"",E31&lt;&gt;"Fechado",E31&lt;&gt;"Perdido",G31&lt;TODAY()),"SIM","")</f>
        <v/>
      </c>
    </row>
    <row r="32">
      <c r="F32" s="16" t="n"/>
      <c r="G32" s="16" t="n"/>
      <c r="I32" s="17" t="n"/>
      <c r="K32">
        <f>IF(AND(G32&lt;&gt;"",E32&lt;&gt;"Fechado",E32&lt;&gt;"Perdido",G32&lt;TODAY()),"SIM","")</f>
        <v/>
      </c>
    </row>
    <row r="33">
      <c r="F33" s="16" t="n"/>
      <c r="G33" s="16" t="n"/>
      <c r="I33" s="17" t="n"/>
      <c r="K33">
        <f>IF(AND(G33&lt;&gt;"",E33&lt;&gt;"Fechado",E33&lt;&gt;"Perdido",G33&lt;TODAY()),"SIM","")</f>
        <v/>
      </c>
    </row>
    <row r="34">
      <c r="F34" s="16" t="n"/>
      <c r="G34" s="16" t="n"/>
      <c r="I34" s="17" t="n"/>
      <c r="K34">
        <f>IF(AND(G34&lt;&gt;"",E34&lt;&gt;"Fechado",E34&lt;&gt;"Perdido",G34&lt;TODAY()),"SIM","")</f>
        <v/>
      </c>
    </row>
    <row r="35">
      <c r="F35" s="16" t="n"/>
      <c r="G35" s="16" t="n"/>
      <c r="I35" s="17" t="n"/>
      <c r="K35">
        <f>IF(AND(G35&lt;&gt;"",E35&lt;&gt;"Fechado",E35&lt;&gt;"Perdido",G35&lt;TODAY()),"SIM","")</f>
        <v/>
      </c>
    </row>
    <row r="36">
      <c r="F36" s="16" t="n"/>
      <c r="G36" s="16" t="n"/>
      <c r="I36" s="17" t="n"/>
      <c r="K36">
        <f>IF(AND(G36&lt;&gt;"",E36&lt;&gt;"Fechado",E36&lt;&gt;"Perdido",G36&lt;TODAY()),"SIM","")</f>
        <v/>
      </c>
    </row>
    <row r="37">
      <c r="F37" s="16" t="n"/>
      <c r="G37" s="16" t="n"/>
      <c r="I37" s="17" t="n"/>
      <c r="K37">
        <f>IF(AND(G37&lt;&gt;"",E37&lt;&gt;"Fechado",E37&lt;&gt;"Perdido",G37&lt;TODAY()),"SIM","")</f>
        <v/>
      </c>
    </row>
    <row r="38">
      <c r="F38" s="16" t="n"/>
      <c r="G38" s="16" t="n"/>
      <c r="I38" s="17" t="n"/>
      <c r="K38">
        <f>IF(AND(G38&lt;&gt;"",E38&lt;&gt;"Fechado",E38&lt;&gt;"Perdido",G38&lt;TODAY()),"SIM","")</f>
        <v/>
      </c>
    </row>
    <row r="39">
      <c r="F39" s="16" t="n"/>
      <c r="G39" s="16" t="n"/>
      <c r="I39" s="17" t="n"/>
      <c r="K39">
        <f>IF(AND(G39&lt;&gt;"",E39&lt;&gt;"Fechado",E39&lt;&gt;"Perdido",G39&lt;TODAY()),"SIM","")</f>
        <v/>
      </c>
    </row>
    <row r="40">
      <c r="F40" s="16" t="n"/>
      <c r="G40" s="16" t="n"/>
      <c r="I40" s="17" t="n"/>
      <c r="K40">
        <f>IF(AND(G40&lt;&gt;"",E40&lt;&gt;"Fechado",E40&lt;&gt;"Perdido",G40&lt;TODAY()),"SIM","")</f>
        <v/>
      </c>
    </row>
    <row r="41">
      <c r="F41" s="16" t="n"/>
      <c r="G41" s="16" t="n"/>
      <c r="I41" s="17" t="n"/>
      <c r="K41">
        <f>IF(AND(G41&lt;&gt;"",E41&lt;&gt;"Fechado",E41&lt;&gt;"Perdido",G41&lt;TODAY()),"SIM","")</f>
        <v/>
      </c>
    </row>
    <row r="42">
      <c r="F42" s="16" t="n"/>
      <c r="G42" s="16" t="n"/>
      <c r="I42" s="17" t="n"/>
      <c r="K42">
        <f>IF(AND(G42&lt;&gt;"",E42&lt;&gt;"Fechado",E42&lt;&gt;"Perdido",G42&lt;TODAY()),"SIM","")</f>
        <v/>
      </c>
    </row>
    <row r="43">
      <c r="F43" s="16" t="n"/>
      <c r="G43" s="16" t="n"/>
      <c r="I43" s="17" t="n"/>
      <c r="K43">
        <f>IF(AND(G43&lt;&gt;"",E43&lt;&gt;"Fechado",E43&lt;&gt;"Perdido",G43&lt;TODAY()),"SIM","")</f>
        <v/>
      </c>
    </row>
    <row r="44">
      <c r="F44" s="16" t="n"/>
      <c r="G44" s="16" t="n"/>
      <c r="I44" s="17" t="n"/>
      <c r="K44">
        <f>IF(AND(G44&lt;&gt;"",E44&lt;&gt;"Fechado",E44&lt;&gt;"Perdido",G44&lt;TODAY()),"SIM","")</f>
        <v/>
      </c>
    </row>
    <row r="45">
      <c r="F45" s="16" t="n"/>
      <c r="G45" s="16" t="n"/>
      <c r="I45" s="17" t="n"/>
      <c r="K45">
        <f>IF(AND(G45&lt;&gt;"",E45&lt;&gt;"Fechado",E45&lt;&gt;"Perdido",G45&lt;TODAY()),"SIM","")</f>
        <v/>
      </c>
    </row>
    <row r="46">
      <c r="F46" s="16" t="n"/>
      <c r="G46" s="16" t="n"/>
      <c r="I46" s="17" t="n"/>
      <c r="K46">
        <f>IF(AND(G46&lt;&gt;"",E46&lt;&gt;"Fechado",E46&lt;&gt;"Perdido",G46&lt;TODAY()),"SIM","")</f>
        <v/>
      </c>
    </row>
    <row r="47">
      <c r="F47" s="16" t="n"/>
      <c r="G47" s="16" t="n"/>
      <c r="I47" s="17" t="n"/>
      <c r="K47">
        <f>IF(AND(G47&lt;&gt;"",E47&lt;&gt;"Fechado",E47&lt;&gt;"Perdido",G47&lt;TODAY()),"SIM","")</f>
        <v/>
      </c>
    </row>
    <row r="48">
      <c r="F48" s="16" t="n"/>
      <c r="G48" s="16" t="n"/>
      <c r="I48" s="17" t="n"/>
      <c r="K48">
        <f>IF(AND(G48&lt;&gt;"",E48&lt;&gt;"Fechado",E48&lt;&gt;"Perdido",G48&lt;TODAY()),"SIM","")</f>
        <v/>
      </c>
    </row>
    <row r="49">
      <c r="F49" s="16" t="n"/>
      <c r="G49" s="16" t="n"/>
      <c r="I49" s="17" t="n"/>
      <c r="K49">
        <f>IF(AND(G49&lt;&gt;"",E49&lt;&gt;"Fechado",E49&lt;&gt;"Perdido",G49&lt;TODAY()),"SIM","")</f>
        <v/>
      </c>
    </row>
    <row r="50">
      <c r="F50" s="16" t="n"/>
      <c r="G50" s="16" t="n"/>
      <c r="I50" s="17" t="n"/>
      <c r="K50">
        <f>IF(AND(G50&lt;&gt;"",E50&lt;&gt;"Fechado",E50&lt;&gt;"Perdido",G50&lt;TODAY()),"SIM","")</f>
        <v/>
      </c>
    </row>
    <row r="51">
      <c r="F51" s="16" t="n"/>
      <c r="G51" s="16" t="n"/>
      <c r="I51" s="17" t="n"/>
      <c r="K51">
        <f>IF(AND(G51&lt;&gt;"",E51&lt;&gt;"Fechado",E51&lt;&gt;"Perdido",G51&lt;TODAY()),"SIM","")</f>
        <v/>
      </c>
    </row>
    <row r="52">
      <c r="F52" s="16" t="n"/>
      <c r="G52" s="16" t="n"/>
      <c r="I52" s="17" t="n"/>
      <c r="K52">
        <f>IF(AND(G52&lt;&gt;"",E52&lt;&gt;"Fechado",E52&lt;&gt;"Perdido",G52&lt;TODAY()),"SIM","")</f>
        <v/>
      </c>
    </row>
    <row r="53">
      <c r="F53" s="16" t="n"/>
      <c r="G53" s="16" t="n"/>
      <c r="I53" s="17" t="n"/>
      <c r="K53">
        <f>IF(AND(G53&lt;&gt;"",E53&lt;&gt;"Fechado",E53&lt;&gt;"Perdido",G53&lt;TODAY()),"SIM","")</f>
        <v/>
      </c>
    </row>
    <row r="54">
      <c r="F54" s="16" t="n"/>
      <c r="G54" s="16" t="n"/>
      <c r="I54" s="17" t="n"/>
      <c r="K54">
        <f>IF(AND(G54&lt;&gt;"",E54&lt;&gt;"Fechado",E54&lt;&gt;"Perdido",G54&lt;TODAY()),"SIM","")</f>
        <v/>
      </c>
    </row>
    <row r="55">
      <c r="F55" s="16" t="n"/>
      <c r="G55" s="16" t="n"/>
      <c r="I55" s="17" t="n"/>
      <c r="K55">
        <f>IF(AND(G55&lt;&gt;"",E55&lt;&gt;"Fechado",E55&lt;&gt;"Perdido",G55&lt;TODAY()),"SIM","")</f>
        <v/>
      </c>
    </row>
    <row r="56">
      <c r="F56" s="16" t="n"/>
      <c r="G56" s="16" t="n"/>
      <c r="I56" s="17" t="n"/>
      <c r="K56">
        <f>IF(AND(G56&lt;&gt;"",E56&lt;&gt;"Fechado",E56&lt;&gt;"Perdido",G56&lt;TODAY()),"SIM","")</f>
        <v/>
      </c>
    </row>
    <row r="57">
      <c r="F57" s="16" t="n"/>
      <c r="G57" s="16" t="n"/>
      <c r="I57" s="17" t="n"/>
      <c r="K57">
        <f>IF(AND(G57&lt;&gt;"",E57&lt;&gt;"Fechado",E57&lt;&gt;"Perdido",G57&lt;TODAY()),"SIM","")</f>
        <v/>
      </c>
    </row>
    <row r="58">
      <c r="F58" s="16" t="n"/>
      <c r="G58" s="16" t="n"/>
      <c r="I58" s="17" t="n"/>
      <c r="K58">
        <f>IF(AND(G58&lt;&gt;"",E58&lt;&gt;"Fechado",E58&lt;&gt;"Perdido",G58&lt;TODAY()),"SIM","")</f>
        <v/>
      </c>
    </row>
    <row r="59">
      <c r="F59" s="16" t="n"/>
      <c r="G59" s="16" t="n"/>
      <c r="I59" s="17" t="n"/>
      <c r="K59">
        <f>IF(AND(G59&lt;&gt;"",E59&lt;&gt;"Fechado",E59&lt;&gt;"Perdido",G59&lt;TODAY()),"SIM","")</f>
        <v/>
      </c>
    </row>
    <row r="60">
      <c r="F60" s="16" t="n"/>
      <c r="G60" s="16" t="n"/>
      <c r="I60" s="17" t="n"/>
      <c r="K60">
        <f>IF(AND(G60&lt;&gt;"",E60&lt;&gt;"Fechado",E60&lt;&gt;"Perdido",G60&lt;TODAY()),"SIM","")</f>
        <v/>
      </c>
    </row>
    <row r="61">
      <c r="F61" s="16" t="n"/>
      <c r="G61" s="16" t="n"/>
      <c r="I61" s="17" t="n"/>
      <c r="K61">
        <f>IF(AND(G61&lt;&gt;"",E61&lt;&gt;"Fechado",E61&lt;&gt;"Perdido",G61&lt;TODAY()),"SIM","")</f>
        <v/>
      </c>
    </row>
    <row r="62">
      <c r="F62" s="16" t="n"/>
      <c r="G62" s="16" t="n"/>
      <c r="I62" s="17" t="n"/>
      <c r="K62">
        <f>IF(AND(G62&lt;&gt;"",E62&lt;&gt;"Fechado",E62&lt;&gt;"Perdido",G62&lt;TODAY()),"SIM","")</f>
        <v/>
      </c>
    </row>
    <row r="63">
      <c r="F63" s="16" t="n"/>
      <c r="G63" s="16" t="n"/>
      <c r="I63" s="17" t="n"/>
      <c r="K63">
        <f>IF(AND(G63&lt;&gt;"",E63&lt;&gt;"Fechado",E63&lt;&gt;"Perdido",G63&lt;TODAY()),"SIM","")</f>
        <v/>
      </c>
    </row>
    <row r="64">
      <c r="F64" s="16" t="n"/>
      <c r="G64" s="16" t="n"/>
      <c r="I64" s="17" t="n"/>
      <c r="K64">
        <f>IF(AND(G64&lt;&gt;"",E64&lt;&gt;"Fechado",E64&lt;&gt;"Perdido",G64&lt;TODAY()),"SIM","")</f>
        <v/>
      </c>
    </row>
    <row r="65">
      <c r="F65" s="16" t="n"/>
      <c r="G65" s="16" t="n"/>
      <c r="I65" s="17" t="n"/>
      <c r="K65">
        <f>IF(AND(G65&lt;&gt;"",E65&lt;&gt;"Fechado",E65&lt;&gt;"Perdido",G65&lt;TODAY()),"SIM","")</f>
        <v/>
      </c>
    </row>
    <row r="66">
      <c r="F66" s="16" t="n"/>
      <c r="G66" s="16" t="n"/>
      <c r="I66" s="17" t="n"/>
      <c r="K66">
        <f>IF(AND(G66&lt;&gt;"",E66&lt;&gt;"Fechado",E66&lt;&gt;"Perdido",G66&lt;TODAY()),"SIM","")</f>
        <v/>
      </c>
    </row>
    <row r="67">
      <c r="F67" s="16" t="n"/>
      <c r="G67" s="16" t="n"/>
      <c r="I67" s="17" t="n"/>
      <c r="K67">
        <f>IF(AND(G67&lt;&gt;"",E67&lt;&gt;"Fechado",E67&lt;&gt;"Perdido",G67&lt;TODAY()),"SIM","")</f>
        <v/>
      </c>
    </row>
    <row r="68">
      <c r="F68" s="16" t="n"/>
      <c r="G68" s="16" t="n"/>
      <c r="I68" s="17" t="n"/>
      <c r="K68">
        <f>IF(AND(G68&lt;&gt;"",E68&lt;&gt;"Fechado",E68&lt;&gt;"Perdido",G68&lt;TODAY()),"SIM","")</f>
        <v/>
      </c>
    </row>
    <row r="69">
      <c r="F69" s="16" t="n"/>
      <c r="G69" s="16" t="n"/>
      <c r="I69" s="17" t="n"/>
      <c r="K69">
        <f>IF(AND(G69&lt;&gt;"",E69&lt;&gt;"Fechado",E69&lt;&gt;"Perdido",G69&lt;TODAY()),"SIM","")</f>
        <v/>
      </c>
    </row>
    <row r="70">
      <c r="F70" s="16" t="n"/>
      <c r="G70" s="16" t="n"/>
      <c r="I70" s="17" t="n"/>
      <c r="K70">
        <f>IF(AND(G70&lt;&gt;"",E70&lt;&gt;"Fechado",E70&lt;&gt;"Perdido",G70&lt;TODAY()),"SIM","")</f>
        <v/>
      </c>
    </row>
    <row r="71">
      <c r="F71" s="16" t="n"/>
      <c r="G71" s="16" t="n"/>
      <c r="I71" s="17" t="n"/>
      <c r="K71">
        <f>IF(AND(G71&lt;&gt;"",E71&lt;&gt;"Fechado",E71&lt;&gt;"Perdido",G71&lt;TODAY()),"SIM","")</f>
        <v/>
      </c>
    </row>
    <row r="72">
      <c r="F72" s="16" t="n"/>
      <c r="G72" s="16" t="n"/>
      <c r="I72" s="17" t="n"/>
      <c r="K72">
        <f>IF(AND(G72&lt;&gt;"",E72&lt;&gt;"Fechado",E72&lt;&gt;"Perdido",G72&lt;TODAY()),"SIM","")</f>
        <v/>
      </c>
    </row>
    <row r="73">
      <c r="F73" s="16" t="n"/>
      <c r="G73" s="16" t="n"/>
      <c r="I73" s="17" t="n"/>
      <c r="K73">
        <f>IF(AND(G73&lt;&gt;"",E73&lt;&gt;"Fechado",E73&lt;&gt;"Perdido",G73&lt;TODAY()),"SIM","")</f>
        <v/>
      </c>
    </row>
    <row r="74">
      <c r="F74" s="16" t="n"/>
      <c r="G74" s="16" t="n"/>
      <c r="I74" s="17" t="n"/>
      <c r="K74">
        <f>IF(AND(G74&lt;&gt;"",E74&lt;&gt;"Fechado",E74&lt;&gt;"Perdido",G74&lt;TODAY()),"SIM","")</f>
        <v/>
      </c>
    </row>
    <row r="75">
      <c r="F75" s="16" t="n"/>
      <c r="G75" s="16" t="n"/>
      <c r="I75" s="17" t="n"/>
      <c r="K75">
        <f>IF(AND(G75&lt;&gt;"",E75&lt;&gt;"Fechado",E75&lt;&gt;"Perdido",G75&lt;TODAY()),"SIM","")</f>
        <v/>
      </c>
    </row>
    <row r="76">
      <c r="F76" s="16" t="n"/>
      <c r="G76" s="16" t="n"/>
      <c r="I76" s="17" t="n"/>
      <c r="K76">
        <f>IF(AND(G76&lt;&gt;"",E76&lt;&gt;"Fechado",E76&lt;&gt;"Perdido",G76&lt;TODAY()),"SIM","")</f>
        <v/>
      </c>
    </row>
    <row r="77">
      <c r="F77" s="16" t="n"/>
      <c r="G77" s="16" t="n"/>
      <c r="I77" s="17" t="n"/>
      <c r="K77">
        <f>IF(AND(G77&lt;&gt;"",E77&lt;&gt;"Fechado",E77&lt;&gt;"Perdido",G77&lt;TODAY()),"SIM","")</f>
        <v/>
      </c>
    </row>
    <row r="78">
      <c r="F78" s="16" t="n"/>
      <c r="G78" s="16" t="n"/>
      <c r="I78" s="17" t="n"/>
      <c r="K78">
        <f>IF(AND(G78&lt;&gt;"",E78&lt;&gt;"Fechado",E78&lt;&gt;"Perdido",G78&lt;TODAY()),"SIM","")</f>
        <v/>
      </c>
    </row>
    <row r="79">
      <c r="F79" s="16" t="n"/>
      <c r="G79" s="16" t="n"/>
      <c r="I79" s="17" t="n"/>
      <c r="K79">
        <f>IF(AND(G79&lt;&gt;"",E79&lt;&gt;"Fechado",E79&lt;&gt;"Perdido",G79&lt;TODAY()),"SIM","")</f>
        <v/>
      </c>
    </row>
    <row r="80">
      <c r="F80" s="16" t="n"/>
      <c r="G80" s="16" t="n"/>
      <c r="I80" s="17" t="n"/>
      <c r="K80">
        <f>IF(AND(G80&lt;&gt;"",E80&lt;&gt;"Fechado",E80&lt;&gt;"Perdido",G80&lt;TODAY()),"SIM","")</f>
        <v/>
      </c>
    </row>
    <row r="81">
      <c r="F81" s="16" t="n"/>
      <c r="G81" s="16" t="n"/>
      <c r="I81" s="17" t="n"/>
      <c r="K81">
        <f>IF(AND(G81&lt;&gt;"",E81&lt;&gt;"Fechado",E81&lt;&gt;"Perdido",G81&lt;TODAY()),"SIM","")</f>
        <v/>
      </c>
    </row>
    <row r="82">
      <c r="F82" s="16" t="n"/>
      <c r="G82" s="16" t="n"/>
      <c r="I82" s="17" t="n"/>
      <c r="K82">
        <f>IF(AND(G82&lt;&gt;"",E82&lt;&gt;"Fechado",E82&lt;&gt;"Perdido",G82&lt;TODAY()),"SIM","")</f>
        <v/>
      </c>
    </row>
    <row r="83">
      <c r="F83" s="16" t="n"/>
      <c r="G83" s="16" t="n"/>
      <c r="I83" s="17" t="n"/>
      <c r="K83">
        <f>IF(AND(G83&lt;&gt;"",E83&lt;&gt;"Fechado",E83&lt;&gt;"Perdido",G83&lt;TODAY()),"SIM","")</f>
        <v/>
      </c>
    </row>
    <row r="84">
      <c r="F84" s="16" t="n"/>
      <c r="G84" s="16" t="n"/>
      <c r="I84" s="17" t="n"/>
      <c r="K84">
        <f>IF(AND(G84&lt;&gt;"",E84&lt;&gt;"Fechado",E84&lt;&gt;"Perdido",G84&lt;TODAY()),"SIM","")</f>
        <v/>
      </c>
    </row>
    <row r="85">
      <c r="F85" s="16" t="n"/>
      <c r="G85" s="16" t="n"/>
      <c r="I85" s="17" t="n"/>
      <c r="K85">
        <f>IF(AND(G85&lt;&gt;"",E85&lt;&gt;"Fechado",E85&lt;&gt;"Perdido",G85&lt;TODAY()),"SIM","")</f>
        <v/>
      </c>
    </row>
    <row r="86">
      <c r="F86" s="16" t="n"/>
      <c r="G86" s="16" t="n"/>
      <c r="I86" s="17" t="n"/>
      <c r="K86">
        <f>IF(AND(G86&lt;&gt;"",E86&lt;&gt;"Fechado",E86&lt;&gt;"Perdido",G86&lt;TODAY()),"SIM","")</f>
        <v/>
      </c>
    </row>
    <row r="87">
      <c r="F87" s="16" t="n"/>
      <c r="G87" s="16" t="n"/>
      <c r="I87" s="17" t="n"/>
      <c r="K87">
        <f>IF(AND(G87&lt;&gt;"",E87&lt;&gt;"Fechado",E87&lt;&gt;"Perdido",G87&lt;TODAY()),"SIM","")</f>
        <v/>
      </c>
    </row>
    <row r="88">
      <c r="F88" s="16" t="n"/>
      <c r="G88" s="16" t="n"/>
      <c r="I88" s="17" t="n"/>
      <c r="K88">
        <f>IF(AND(G88&lt;&gt;"",E88&lt;&gt;"Fechado",E88&lt;&gt;"Perdido",G88&lt;TODAY()),"SIM","")</f>
        <v/>
      </c>
    </row>
    <row r="89">
      <c r="F89" s="16" t="n"/>
      <c r="G89" s="16" t="n"/>
      <c r="I89" s="17" t="n"/>
      <c r="K89">
        <f>IF(AND(G89&lt;&gt;"",E89&lt;&gt;"Fechado",E89&lt;&gt;"Perdido",G89&lt;TODAY()),"SIM","")</f>
        <v/>
      </c>
    </row>
    <row r="90">
      <c r="F90" s="16" t="n"/>
      <c r="G90" s="16" t="n"/>
      <c r="I90" s="17" t="n"/>
      <c r="K90">
        <f>IF(AND(G90&lt;&gt;"",E90&lt;&gt;"Fechado",E90&lt;&gt;"Perdido",G90&lt;TODAY()),"SIM","")</f>
        <v/>
      </c>
    </row>
    <row r="91">
      <c r="F91" s="16" t="n"/>
      <c r="G91" s="16" t="n"/>
      <c r="I91" s="17" t="n"/>
      <c r="K91">
        <f>IF(AND(G91&lt;&gt;"",E91&lt;&gt;"Fechado",E91&lt;&gt;"Perdido",G91&lt;TODAY()),"SIM","")</f>
        <v/>
      </c>
    </row>
    <row r="92">
      <c r="F92" s="16" t="n"/>
      <c r="G92" s="16" t="n"/>
      <c r="I92" s="17" t="n"/>
      <c r="K92">
        <f>IF(AND(G92&lt;&gt;"",E92&lt;&gt;"Fechado",E92&lt;&gt;"Perdido",G92&lt;TODAY()),"SIM","")</f>
        <v/>
      </c>
    </row>
    <row r="93">
      <c r="F93" s="16" t="n"/>
      <c r="G93" s="16" t="n"/>
      <c r="I93" s="17" t="n"/>
      <c r="K93">
        <f>IF(AND(G93&lt;&gt;"",E93&lt;&gt;"Fechado",E93&lt;&gt;"Perdido",G93&lt;TODAY()),"SIM","")</f>
        <v/>
      </c>
    </row>
    <row r="94">
      <c r="F94" s="16" t="n"/>
      <c r="G94" s="16" t="n"/>
      <c r="I94" s="17" t="n"/>
      <c r="K94">
        <f>IF(AND(G94&lt;&gt;"",E94&lt;&gt;"Fechado",E94&lt;&gt;"Perdido",G94&lt;TODAY()),"SIM","")</f>
        <v/>
      </c>
    </row>
    <row r="95">
      <c r="F95" s="16" t="n"/>
      <c r="G95" s="16" t="n"/>
      <c r="I95" s="17" t="n"/>
      <c r="K95">
        <f>IF(AND(G95&lt;&gt;"",E95&lt;&gt;"Fechado",E95&lt;&gt;"Perdido",G95&lt;TODAY()),"SIM","")</f>
        <v/>
      </c>
    </row>
    <row r="96">
      <c r="F96" s="16" t="n"/>
      <c r="G96" s="16" t="n"/>
      <c r="I96" s="17" t="n"/>
      <c r="K96">
        <f>IF(AND(G96&lt;&gt;"",E96&lt;&gt;"Fechado",E96&lt;&gt;"Perdido",G96&lt;TODAY()),"SIM","")</f>
        <v/>
      </c>
    </row>
    <row r="97">
      <c r="F97" s="16" t="n"/>
      <c r="G97" s="16" t="n"/>
      <c r="I97" s="17" t="n"/>
      <c r="K97">
        <f>IF(AND(G97&lt;&gt;"",E97&lt;&gt;"Fechado",E97&lt;&gt;"Perdido",G97&lt;TODAY()),"SIM","")</f>
        <v/>
      </c>
    </row>
    <row r="98">
      <c r="F98" s="16" t="n"/>
      <c r="G98" s="16" t="n"/>
      <c r="I98" s="17" t="n"/>
      <c r="K98">
        <f>IF(AND(G98&lt;&gt;"",E98&lt;&gt;"Fechado",E98&lt;&gt;"Perdido",G98&lt;TODAY()),"SIM","")</f>
        <v/>
      </c>
    </row>
    <row r="99">
      <c r="F99" s="16" t="n"/>
      <c r="G99" s="16" t="n"/>
      <c r="I99" s="17" t="n"/>
      <c r="K99">
        <f>IF(AND(G99&lt;&gt;"",E99&lt;&gt;"Fechado",E99&lt;&gt;"Perdido",G99&lt;TODAY()),"SIM","")</f>
        <v/>
      </c>
    </row>
    <row r="100">
      <c r="F100" s="16" t="n"/>
      <c r="G100" s="16" t="n"/>
      <c r="I100" s="17" t="n"/>
      <c r="K100">
        <f>IF(AND(G100&lt;&gt;"",E100&lt;&gt;"Fechado",E100&lt;&gt;"Perdido",G100&lt;TODAY()),"SIM","")</f>
        <v/>
      </c>
    </row>
    <row r="101">
      <c r="F101" s="16" t="n"/>
      <c r="G101" s="16" t="n"/>
      <c r="I101" s="17" t="n"/>
      <c r="K101">
        <f>IF(AND(G101&lt;&gt;"",E101&lt;&gt;"Fechado",E101&lt;&gt;"Perdido",G101&lt;TODAY()),"SIM","")</f>
        <v/>
      </c>
    </row>
    <row r="102">
      <c r="F102" s="16" t="n"/>
      <c r="G102" s="16" t="n"/>
      <c r="I102" s="17" t="n"/>
      <c r="K102">
        <f>IF(AND(G102&lt;&gt;"",E102&lt;&gt;"Fechado",E102&lt;&gt;"Perdido",G102&lt;TODAY()),"SIM","")</f>
        <v/>
      </c>
    </row>
    <row r="103">
      <c r="F103" s="16" t="n"/>
      <c r="G103" s="16" t="n"/>
      <c r="I103" s="17" t="n"/>
      <c r="K103">
        <f>IF(AND(G103&lt;&gt;"",E103&lt;&gt;"Fechado",E103&lt;&gt;"Perdido",G103&lt;TODAY()),"SIM","")</f>
        <v/>
      </c>
    </row>
    <row r="104">
      <c r="F104" s="16" t="n"/>
      <c r="G104" s="16" t="n"/>
      <c r="I104" s="17" t="n"/>
      <c r="K104">
        <f>IF(AND(G104&lt;&gt;"",E104&lt;&gt;"Fechado",E104&lt;&gt;"Perdido",G104&lt;TODAY()),"SIM","")</f>
        <v/>
      </c>
    </row>
    <row r="105">
      <c r="F105" s="16" t="n"/>
      <c r="G105" s="16" t="n"/>
      <c r="I105" s="17" t="n"/>
      <c r="K105">
        <f>IF(AND(G105&lt;&gt;"",E105&lt;&gt;"Fechado",E105&lt;&gt;"Perdido",G105&lt;TODAY()),"SIM","")</f>
        <v/>
      </c>
    </row>
    <row r="106">
      <c r="F106" s="16" t="n"/>
      <c r="G106" s="16" t="n"/>
      <c r="I106" s="17" t="n"/>
      <c r="K106">
        <f>IF(AND(G106&lt;&gt;"",E106&lt;&gt;"Fechado",E106&lt;&gt;"Perdido",G106&lt;TODAY()),"SIM","")</f>
        <v/>
      </c>
    </row>
    <row r="107">
      <c r="F107" s="16" t="n"/>
      <c r="G107" s="16" t="n"/>
      <c r="I107" s="17" t="n"/>
      <c r="K107">
        <f>IF(AND(G107&lt;&gt;"",E107&lt;&gt;"Fechado",E107&lt;&gt;"Perdido",G107&lt;TODAY()),"SIM","")</f>
        <v/>
      </c>
    </row>
    <row r="108">
      <c r="F108" s="16" t="n"/>
      <c r="G108" s="16" t="n"/>
      <c r="I108" s="17" t="n"/>
      <c r="K108">
        <f>IF(AND(G108&lt;&gt;"",E108&lt;&gt;"Fechado",E108&lt;&gt;"Perdido",G108&lt;TODAY()),"SIM","")</f>
        <v/>
      </c>
    </row>
    <row r="109">
      <c r="F109" s="16" t="n"/>
      <c r="G109" s="16" t="n"/>
      <c r="I109" s="17" t="n"/>
      <c r="K109">
        <f>IF(AND(G109&lt;&gt;"",E109&lt;&gt;"Fechado",E109&lt;&gt;"Perdido",G109&lt;TODAY()),"SIM","")</f>
        <v/>
      </c>
    </row>
    <row r="110">
      <c r="F110" s="16" t="n"/>
      <c r="G110" s="16" t="n"/>
      <c r="I110" s="17" t="n"/>
      <c r="K110">
        <f>IF(AND(G110&lt;&gt;"",E110&lt;&gt;"Fechado",E110&lt;&gt;"Perdido",G110&lt;TODAY()),"SIM","")</f>
        <v/>
      </c>
    </row>
    <row r="111">
      <c r="F111" s="16" t="n"/>
      <c r="G111" s="16" t="n"/>
      <c r="I111" s="17" t="n"/>
      <c r="K111">
        <f>IF(AND(G111&lt;&gt;"",E111&lt;&gt;"Fechado",E111&lt;&gt;"Perdido",G111&lt;TODAY()),"SIM","")</f>
        <v/>
      </c>
    </row>
    <row r="112">
      <c r="F112" s="16" t="n"/>
      <c r="G112" s="16" t="n"/>
      <c r="I112" s="17" t="n"/>
      <c r="K112">
        <f>IF(AND(G112&lt;&gt;"",E112&lt;&gt;"Fechado",E112&lt;&gt;"Perdido",G112&lt;TODAY()),"SIM","")</f>
        <v/>
      </c>
    </row>
    <row r="113">
      <c r="F113" s="16" t="n"/>
      <c r="G113" s="16" t="n"/>
      <c r="I113" s="17" t="n"/>
      <c r="K113">
        <f>IF(AND(G113&lt;&gt;"",E113&lt;&gt;"Fechado",E113&lt;&gt;"Perdido",G113&lt;TODAY()),"SIM","")</f>
        <v/>
      </c>
    </row>
    <row r="114">
      <c r="F114" s="16" t="n"/>
      <c r="G114" s="16" t="n"/>
      <c r="I114" s="17" t="n"/>
      <c r="K114">
        <f>IF(AND(G114&lt;&gt;"",E114&lt;&gt;"Fechado",E114&lt;&gt;"Perdido",G114&lt;TODAY()),"SIM","")</f>
        <v/>
      </c>
    </row>
    <row r="115">
      <c r="F115" s="16" t="n"/>
      <c r="G115" s="16" t="n"/>
      <c r="I115" s="17" t="n"/>
      <c r="K115">
        <f>IF(AND(G115&lt;&gt;"",E115&lt;&gt;"Fechado",E115&lt;&gt;"Perdido",G115&lt;TODAY()),"SIM","")</f>
        <v/>
      </c>
    </row>
    <row r="116">
      <c r="F116" s="16" t="n"/>
      <c r="G116" s="16" t="n"/>
      <c r="I116" s="17" t="n"/>
      <c r="K116">
        <f>IF(AND(G116&lt;&gt;"",E116&lt;&gt;"Fechado",E116&lt;&gt;"Perdido",G116&lt;TODAY()),"SIM","")</f>
        <v/>
      </c>
    </row>
    <row r="117">
      <c r="F117" s="16" t="n"/>
      <c r="G117" s="16" t="n"/>
      <c r="I117" s="17" t="n"/>
      <c r="K117">
        <f>IF(AND(G117&lt;&gt;"",E117&lt;&gt;"Fechado",E117&lt;&gt;"Perdido",G117&lt;TODAY()),"SIM","")</f>
        <v/>
      </c>
    </row>
    <row r="118">
      <c r="F118" s="16" t="n"/>
      <c r="G118" s="16" t="n"/>
      <c r="I118" s="17" t="n"/>
      <c r="K118">
        <f>IF(AND(G118&lt;&gt;"",E118&lt;&gt;"Fechado",E118&lt;&gt;"Perdido",G118&lt;TODAY()),"SIM","")</f>
        <v/>
      </c>
    </row>
    <row r="119">
      <c r="F119" s="16" t="n"/>
      <c r="G119" s="16" t="n"/>
      <c r="I119" s="17" t="n"/>
      <c r="K119">
        <f>IF(AND(G119&lt;&gt;"",E119&lt;&gt;"Fechado",E119&lt;&gt;"Perdido",G119&lt;TODAY()),"SIM","")</f>
        <v/>
      </c>
    </row>
    <row r="120">
      <c r="F120" s="16" t="n"/>
      <c r="G120" s="16" t="n"/>
      <c r="I120" s="17" t="n"/>
      <c r="K120">
        <f>IF(AND(G120&lt;&gt;"",E120&lt;&gt;"Fechado",E120&lt;&gt;"Perdido",G120&lt;TODAY()),"SIM","")</f>
        <v/>
      </c>
    </row>
    <row r="121">
      <c r="F121" s="16" t="n"/>
      <c r="G121" s="16" t="n"/>
      <c r="I121" s="17" t="n"/>
      <c r="K121">
        <f>IF(AND(G121&lt;&gt;"",E121&lt;&gt;"Fechado",E121&lt;&gt;"Perdido",G121&lt;TODAY()),"SIM","")</f>
        <v/>
      </c>
    </row>
    <row r="122">
      <c r="F122" s="16" t="n"/>
      <c r="G122" s="16" t="n"/>
      <c r="I122" s="17" t="n"/>
      <c r="K122">
        <f>IF(AND(G122&lt;&gt;"",E122&lt;&gt;"Fechado",E122&lt;&gt;"Perdido",G122&lt;TODAY()),"SIM","")</f>
        <v/>
      </c>
    </row>
    <row r="123">
      <c r="F123" s="16" t="n"/>
      <c r="G123" s="16" t="n"/>
      <c r="I123" s="17" t="n"/>
      <c r="K123">
        <f>IF(AND(G123&lt;&gt;"",E123&lt;&gt;"Fechado",E123&lt;&gt;"Perdido",G123&lt;TODAY()),"SIM","")</f>
        <v/>
      </c>
    </row>
    <row r="124">
      <c r="F124" s="16" t="n"/>
      <c r="G124" s="16" t="n"/>
      <c r="I124" s="17" t="n"/>
      <c r="K124">
        <f>IF(AND(G124&lt;&gt;"",E124&lt;&gt;"Fechado",E124&lt;&gt;"Perdido",G124&lt;TODAY()),"SIM","")</f>
        <v/>
      </c>
    </row>
    <row r="125">
      <c r="F125" s="16" t="n"/>
      <c r="G125" s="16" t="n"/>
      <c r="I125" s="17" t="n"/>
      <c r="K125">
        <f>IF(AND(G125&lt;&gt;"",E125&lt;&gt;"Fechado",E125&lt;&gt;"Perdido",G125&lt;TODAY()),"SIM","")</f>
        <v/>
      </c>
    </row>
    <row r="126">
      <c r="F126" s="16" t="n"/>
      <c r="G126" s="16" t="n"/>
      <c r="I126" s="17" t="n"/>
      <c r="K126">
        <f>IF(AND(G126&lt;&gt;"",E126&lt;&gt;"Fechado",E126&lt;&gt;"Perdido",G126&lt;TODAY()),"SIM","")</f>
        <v/>
      </c>
    </row>
    <row r="127">
      <c r="F127" s="16" t="n"/>
      <c r="G127" s="16" t="n"/>
      <c r="I127" s="17" t="n"/>
      <c r="K127">
        <f>IF(AND(G127&lt;&gt;"",E127&lt;&gt;"Fechado",E127&lt;&gt;"Perdido",G127&lt;TODAY()),"SIM","")</f>
        <v/>
      </c>
    </row>
    <row r="128">
      <c r="F128" s="16" t="n"/>
      <c r="G128" s="16" t="n"/>
      <c r="I128" s="17" t="n"/>
      <c r="K128">
        <f>IF(AND(G128&lt;&gt;"",E128&lt;&gt;"Fechado",E128&lt;&gt;"Perdido",G128&lt;TODAY()),"SIM","")</f>
        <v/>
      </c>
    </row>
    <row r="129">
      <c r="F129" s="16" t="n"/>
      <c r="G129" s="16" t="n"/>
      <c r="I129" s="17" t="n"/>
      <c r="K129">
        <f>IF(AND(G129&lt;&gt;"",E129&lt;&gt;"Fechado",E129&lt;&gt;"Perdido",G129&lt;TODAY()),"SIM","")</f>
        <v/>
      </c>
    </row>
    <row r="130">
      <c r="F130" s="16" t="n"/>
      <c r="G130" s="16" t="n"/>
      <c r="I130" s="17" t="n"/>
      <c r="K130">
        <f>IF(AND(G130&lt;&gt;"",E130&lt;&gt;"Fechado",E130&lt;&gt;"Perdido",G130&lt;TODAY()),"SIM","")</f>
        <v/>
      </c>
    </row>
    <row r="131">
      <c r="F131" s="16" t="n"/>
      <c r="G131" s="16" t="n"/>
      <c r="I131" s="17" t="n"/>
      <c r="K131">
        <f>IF(AND(G131&lt;&gt;"",E131&lt;&gt;"Fechado",E131&lt;&gt;"Perdido",G131&lt;TODAY()),"SIM","")</f>
        <v/>
      </c>
    </row>
    <row r="132">
      <c r="F132" s="16" t="n"/>
      <c r="G132" s="16" t="n"/>
      <c r="I132" s="17" t="n"/>
      <c r="K132">
        <f>IF(AND(G132&lt;&gt;"",E132&lt;&gt;"Fechado",E132&lt;&gt;"Perdido",G132&lt;TODAY()),"SIM","")</f>
        <v/>
      </c>
    </row>
    <row r="133">
      <c r="F133" s="16" t="n"/>
      <c r="G133" s="16" t="n"/>
      <c r="I133" s="17" t="n"/>
      <c r="K133">
        <f>IF(AND(G133&lt;&gt;"",E133&lt;&gt;"Fechado",E133&lt;&gt;"Perdido",G133&lt;TODAY()),"SIM","")</f>
        <v/>
      </c>
    </row>
    <row r="134">
      <c r="F134" s="16" t="n"/>
      <c r="G134" s="16" t="n"/>
      <c r="I134" s="17" t="n"/>
      <c r="K134">
        <f>IF(AND(G134&lt;&gt;"",E134&lt;&gt;"Fechado",E134&lt;&gt;"Perdido",G134&lt;TODAY()),"SIM","")</f>
        <v/>
      </c>
    </row>
    <row r="135">
      <c r="F135" s="16" t="n"/>
      <c r="G135" s="16" t="n"/>
      <c r="I135" s="17" t="n"/>
      <c r="K135">
        <f>IF(AND(G135&lt;&gt;"",E135&lt;&gt;"Fechado",E135&lt;&gt;"Perdido",G135&lt;TODAY()),"SIM","")</f>
        <v/>
      </c>
    </row>
    <row r="136">
      <c r="F136" s="16" t="n"/>
      <c r="G136" s="16" t="n"/>
      <c r="I136" s="17" t="n"/>
      <c r="K136">
        <f>IF(AND(G136&lt;&gt;"",E136&lt;&gt;"Fechado",E136&lt;&gt;"Perdido",G136&lt;TODAY()),"SIM","")</f>
        <v/>
      </c>
    </row>
    <row r="137">
      <c r="F137" s="16" t="n"/>
      <c r="G137" s="16" t="n"/>
      <c r="I137" s="17" t="n"/>
      <c r="K137">
        <f>IF(AND(G137&lt;&gt;"",E137&lt;&gt;"Fechado",E137&lt;&gt;"Perdido",G137&lt;TODAY()),"SIM","")</f>
        <v/>
      </c>
    </row>
    <row r="138">
      <c r="F138" s="16" t="n"/>
      <c r="G138" s="16" t="n"/>
      <c r="I138" s="17" t="n"/>
      <c r="K138">
        <f>IF(AND(G138&lt;&gt;"",E138&lt;&gt;"Fechado",E138&lt;&gt;"Perdido",G138&lt;TODAY()),"SIM","")</f>
        <v/>
      </c>
    </row>
    <row r="139">
      <c r="F139" s="16" t="n"/>
      <c r="G139" s="16" t="n"/>
      <c r="I139" s="17" t="n"/>
      <c r="K139">
        <f>IF(AND(G139&lt;&gt;"",E139&lt;&gt;"Fechado",E139&lt;&gt;"Perdido",G139&lt;TODAY()),"SIM","")</f>
        <v/>
      </c>
    </row>
    <row r="140">
      <c r="F140" s="16" t="n"/>
      <c r="G140" s="16" t="n"/>
      <c r="I140" s="17" t="n"/>
      <c r="K140">
        <f>IF(AND(G140&lt;&gt;"",E140&lt;&gt;"Fechado",E140&lt;&gt;"Perdido",G140&lt;TODAY()),"SIM","")</f>
        <v/>
      </c>
    </row>
    <row r="141">
      <c r="F141" s="16" t="n"/>
      <c r="G141" s="16" t="n"/>
      <c r="I141" s="17" t="n"/>
      <c r="K141">
        <f>IF(AND(G141&lt;&gt;"",E141&lt;&gt;"Fechado",E141&lt;&gt;"Perdido",G141&lt;TODAY()),"SIM","")</f>
        <v/>
      </c>
    </row>
    <row r="142">
      <c r="F142" s="16" t="n"/>
      <c r="G142" s="16" t="n"/>
      <c r="I142" s="17" t="n"/>
      <c r="K142">
        <f>IF(AND(G142&lt;&gt;"",E142&lt;&gt;"Fechado",E142&lt;&gt;"Perdido",G142&lt;TODAY()),"SIM","")</f>
        <v/>
      </c>
    </row>
    <row r="143">
      <c r="F143" s="16" t="n"/>
      <c r="G143" s="16" t="n"/>
      <c r="I143" s="17" t="n"/>
      <c r="K143">
        <f>IF(AND(G143&lt;&gt;"",E143&lt;&gt;"Fechado",E143&lt;&gt;"Perdido",G143&lt;TODAY()),"SIM","")</f>
        <v/>
      </c>
    </row>
    <row r="144">
      <c r="F144" s="16" t="n"/>
      <c r="G144" s="16" t="n"/>
      <c r="I144" s="17" t="n"/>
      <c r="K144">
        <f>IF(AND(G144&lt;&gt;"",E144&lt;&gt;"Fechado",E144&lt;&gt;"Perdido",G144&lt;TODAY()),"SIM","")</f>
        <v/>
      </c>
    </row>
    <row r="145">
      <c r="F145" s="16" t="n"/>
      <c r="G145" s="16" t="n"/>
      <c r="I145" s="17" t="n"/>
      <c r="K145">
        <f>IF(AND(G145&lt;&gt;"",E145&lt;&gt;"Fechado",E145&lt;&gt;"Perdido",G145&lt;TODAY()),"SIM","")</f>
        <v/>
      </c>
    </row>
    <row r="146">
      <c r="F146" s="16" t="n"/>
      <c r="G146" s="16" t="n"/>
      <c r="I146" s="17" t="n"/>
      <c r="K146">
        <f>IF(AND(G146&lt;&gt;"",E146&lt;&gt;"Fechado",E146&lt;&gt;"Perdido",G146&lt;TODAY()),"SIM","")</f>
        <v/>
      </c>
    </row>
    <row r="147">
      <c r="F147" s="16" t="n"/>
      <c r="G147" s="16" t="n"/>
      <c r="I147" s="17" t="n"/>
      <c r="K147">
        <f>IF(AND(G147&lt;&gt;"",E147&lt;&gt;"Fechado",E147&lt;&gt;"Perdido",G147&lt;TODAY()),"SIM","")</f>
        <v/>
      </c>
    </row>
    <row r="148">
      <c r="F148" s="16" t="n"/>
      <c r="G148" s="16" t="n"/>
      <c r="I148" s="17" t="n"/>
      <c r="K148">
        <f>IF(AND(G148&lt;&gt;"",E148&lt;&gt;"Fechado",E148&lt;&gt;"Perdido",G148&lt;TODAY()),"SIM","")</f>
        <v/>
      </c>
    </row>
    <row r="149">
      <c r="F149" s="16" t="n"/>
      <c r="G149" s="16" t="n"/>
      <c r="I149" s="17" t="n"/>
      <c r="K149">
        <f>IF(AND(G149&lt;&gt;"",E149&lt;&gt;"Fechado",E149&lt;&gt;"Perdido",G149&lt;TODAY()),"SIM","")</f>
        <v/>
      </c>
    </row>
    <row r="150">
      <c r="F150" s="16" t="n"/>
      <c r="G150" s="16" t="n"/>
      <c r="I150" s="17" t="n"/>
      <c r="K150">
        <f>IF(AND(G150&lt;&gt;"",E150&lt;&gt;"Fechado",E150&lt;&gt;"Perdido",G150&lt;TODAY()),"SIM","")</f>
        <v/>
      </c>
    </row>
    <row r="151">
      <c r="F151" s="16" t="n"/>
      <c r="G151" s="16" t="n"/>
      <c r="I151" s="17" t="n"/>
      <c r="K151">
        <f>IF(AND(G151&lt;&gt;"",E151&lt;&gt;"Fechado",E151&lt;&gt;"Perdido",G151&lt;TODAY()),"SIM","")</f>
        <v/>
      </c>
    </row>
    <row r="152">
      <c r="F152" s="16" t="n"/>
      <c r="G152" s="16" t="n"/>
      <c r="I152" s="17" t="n"/>
      <c r="K152">
        <f>IF(AND(G152&lt;&gt;"",E152&lt;&gt;"Fechado",E152&lt;&gt;"Perdido",G152&lt;TODAY()),"SIM","")</f>
        <v/>
      </c>
    </row>
    <row r="153">
      <c r="F153" s="16" t="n"/>
      <c r="G153" s="16" t="n"/>
      <c r="I153" s="17" t="n"/>
      <c r="K153">
        <f>IF(AND(G153&lt;&gt;"",E153&lt;&gt;"Fechado",E153&lt;&gt;"Perdido",G153&lt;TODAY()),"SIM","")</f>
        <v/>
      </c>
    </row>
    <row r="154">
      <c r="F154" s="16" t="n"/>
      <c r="G154" s="16" t="n"/>
      <c r="I154" s="17" t="n"/>
      <c r="K154">
        <f>IF(AND(G154&lt;&gt;"",E154&lt;&gt;"Fechado",E154&lt;&gt;"Perdido",G154&lt;TODAY()),"SIM","")</f>
        <v/>
      </c>
    </row>
    <row r="155">
      <c r="F155" s="16" t="n"/>
      <c r="G155" s="16" t="n"/>
      <c r="I155" s="17" t="n"/>
      <c r="K155">
        <f>IF(AND(G155&lt;&gt;"",E155&lt;&gt;"Fechado",E155&lt;&gt;"Perdido",G155&lt;TODAY()),"SIM","")</f>
        <v/>
      </c>
    </row>
    <row r="156">
      <c r="F156" s="16" t="n"/>
      <c r="G156" s="16" t="n"/>
      <c r="I156" s="17" t="n"/>
      <c r="K156">
        <f>IF(AND(G156&lt;&gt;"",E156&lt;&gt;"Fechado",E156&lt;&gt;"Perdido",G156&lt;TODAY()),"SIM","")</f>
        <v/>
      </c>
    </row>
    <row r="157">
      <c r="F157" s="16" t="n"/>
      <c r="G157" s="16" t="n"/>
      <c r="I157" s="17" t="n"/>
      <c r="K157">
        <f>IF(AND(G157&lt;&gt;"",E157&lt;&gt;"Fechado",E157&lt;&gt;"Perdido",G157&lt;TODAY()),"SIM","")</f>
        <v/>
      </c>
    </row>
    <row r="158">
      <c r="F158" s="16" t="n"/>
      <c r="G158" s="16" t="n"/>
      <c r="I158" s="17" t="n"/>
      <c r="K158">
        <f>IF(AND(G158&lt;&gt;"",E158&lt;&gt;"Fechado",E158&lt;&gt;"Perdido",G158&lt;TODAY()),"SIM","")</f>
        <v/>
      </c>
    </row>
    <row r="159">
      <c r="F159" s="16" t="n"/>
      <c r="G159" s="16" t="n"/>
      <c r="I159" s="17" t="n"/>
      <c r="K159">
        <f>IF(AND(G159&lt;&gt;"",E159&lt;&gt;"Fechado",E159&lt;&gt;"Perdido",G159&lt;TODAY()),"SIM","")</f>
        <v/>
      </c>
    </row>
    <row r="160">
      <c r="F160" s="16" t="n"/>
      <c r="G160" s="16" t="n"/>
      <c r="I160" s="17" t="n"/>
      <c r="K160">
        <f>IF(AND(G160&lt;&gt;"",E160&lt;&gt;"Fechado",E160&lt;&gt;"Perdido",G160&lt;TODAY()),"SIM","")</f>
        <v/>
      </c>
    </row>
    <row r="161">
      <c r="F161" s="16" t="n"/>
      <c r="G161" s="16" t="n"/>
      <c r="I161" s="17" t="n"/>
      <c r="K161">
        <f>IF(AND(G161&lt;&gt;"",E161&lt;&gt;"Fechado",E161&lt;&gt;"Perdido",G161&lt;TODAY()),"SIM","")</f>
        <v/>
      </c>
    </row>
    <row r="162">
      <c r="F162" s="16" t="n"/>
      <c r="G162" s="16" t="n"/>
      <c r="I162" s="17" t="n"/>
      <c r="K162">
        <f>IF(AND(G162&lt;&gt;"",E162&lt;&gt;"Fechado",E162&lt;&gt;"Perdido",G162&lt;TODAY()),"SIM","")</f>
        <v/>
      </c>
    </row>
    <row r="163">
      <c r="F163" s="16" t="n"/>
      <c r="G163" s="16" t="n"/>
      <c r="I163" s="17" t="n"/>
      <c r="K163">
        <f>IF(AND(G163&lt;&gt;"",E163&lt;&gt;"Fechado",E163&lt;&gt;"Perdido",G163&lt;TODAY()),"SIM","")</f>
        <v/>
      </c>
    </row>
    <row r="164">
      <c r="F164" s="16" t="n"/>
      <c r="G164" s="16" t="n"/>
      <c r="I164" s="17" t="n"/>
      <c r="K164">
        <f>IF(AND(G164&lt;&gt;"",E164&lt;&gt;"Fechado",E164&lt;&gt;"Perdido",G164&lt;TODAY()),"SIM","")</f>
        <v/>
      </c>
    </row>
    <row r="165">
      <c r="F165" s="16" t="n"/>
      <c r="G165" s="16" t="n"/>
      <c r="I165" s="17" t="n"/>
      <c r="K165">
        <f>IF(AND(G165&lt;&gt;"",E165&lt;&gt;"Fechado",E165&lt;&gt;"Perdido",G165&lt;TODAY()),"SIM","")</f>
        <v/>
      </c>
    </row>
    <row r="166">
      <c r="F166" s="16" t="n"/>
      <c r="G166" s="16" t="n"/>
      <c r="I166" s="17" t="n"/>
      <c r="K166">
        <f>IF(AND(G166&lt;&gt;"",E166&lt;&gt;"Fechado",E166&lt;&gt;"Perdido",G166&lt;TODAY()),"SIM","")</f>
        <v/>
      </c>
    </row>
    <row r="167">
      <c r="F167" s="16" t="n"/>
      <c r="G167" s="16" t="n"/>
      <c r="I167" s="17" t="n"/>
      <c r="K167">
        <f>IF(AND(G167&lt;&gt;"",E167&lt;&gt;"Fechado",E167&lt;&gt;"Perdido",G167&lt;TODAY()),"SIM","")</f>
        <v/>
      </c>
    </row>
    <row r="168">
      <c r="F168" s="16" t="n"/>
      <c r="G168" s="16" t="n"/>
      <c r="I168" s="17" t="n"/>
      <c r="K168">
        <f>IF(AND(G168&lt;&gt;"",E168&lt;&gt;"Fechado",E168&lt;&gt;"Perdido",G168&lt;TODAY()),"SIM","")</f>
        <v/>
      </c>
    </row>
    <row r="169">
      <c r="F169" s="16" t="n"/>
      <c r="G169" s="16" t="n"/>
      <c r="I169" s="17" t="n"/>
      <c r="K169">
        <f>IF(AND(G169&lt;&gt;"",E169&lt;&gt;"Fechado",E169&lt;&gt;"Perdido",G169&lt;TODAY()),"SIM","")</f>
        <v/>
      </c>
    </row>
    <row r="170">
      <c r="F170" s="16" t="n"/>
      <c r="G170" s="16" t="n"/>
      <c r="I170" s="17" t="n"/>
      <c r="K170">
        <f>IF(AND(G170&lt;&gt;"",E170&lt;&gt;"Fechado",E170&lt;&gt;"Perdido",G170&lt;TODAY()),"SIM","")</f>
        <v/>
      </c>
    </row>
    <row r="171">
      <c r="F171" s="16" t="n"/>
      <c r="G171" s="16" t="n"/>
      <c r="I171" s="17" t="n"/>
      <c r="K171">
        <f>IF(AND(G171&lt;&gt;"",E171&lt;&gt;"Fechado",E171&lt;&gt;"Perdido",G171&lt;TODAY()),"SIM","")</f>
        <v/>
      </c>
    </row>
    <row r="172">
      <c r="F172" s="16" t="n"/>
      <c r="G172" s="16" t="n"/>
      <c r="I172" s="17" t="n"/>
      <c r="K172">
        <f>IF(AND(G172&lt;&gt;"",E172&lt;&gt;"Fechado",E172&lt;&gt;"Perdido",G172&lt;TODAY()),"SIM","")</f>
        <v/>
      </c>
    </row>
    <row r="173">
      <c r="F173" s="16" t="n"/>
      <c r="G173" s="16" t="n"/>
      <c r="I173" s="17" t="n"/>
      <c r="K173">
        <f>IF(AND(G173&lt;&gt;"",E173&lt;&gt;"Fechado",E173&lt;&gt;"Perdido",G173&lt;TODAY()),"SIM","")</f>
        <v/>
      </c>
    </row>
    <row r="174">
      <c r="F174" s="16" t="n"/>
      <c r="G174" s="16" t="n"/>
      <c r="I174" s="17" t="n"/>
      <c r="K174">
        <f>IF(AND(G174&lt;&gt;"",E174&lt;&gt;"Fechado",E174&lt;&gt;"Perdido",G174&lt;TODAY()),"SIM","")</f>
        <v/>
      </c>
    </row>
    <row r="175">
      <c r="F175" s="16" t="n"/>
      <c r="G175" s="16" t="n"/>
      <c r="I175" s="17" t="n"/>
      <c r="K175">
        <f>IF(AND(G175&lt;&gt;"",E175&lt;&gt;"Fechado",E175&lt;&gt;"Perdido",G175&lt;TODAY()),"SIM","")</f>
        <v/>
      </c>
    </row>
    <row r="176">
      <c r="F176" s="16" t="n"/>
      <c r="G176" s="16" t="n"/>
      <c r="I176" s="17" t="n"/>
      <c r="K176">
        <f>IF(AND(G176&lt;&gt;"",E176&lt;&gt;"Fechado",E176&lt;&gt;"Perdido",G176&lt;TODAY()),"SIM","")</f>
        <v/>
      </c>
    </row>
    <row r="177">
      <c r="F177" s="16" t="n"/>
      <c r="G177" s="16" t="n"/>
      <c r="I177" s="17" t="n"/>
      <c r="K177">
        <f>IF(AND(G177&lt;&gt;"",E177&lt;&gt;"Fechado",E177&lt;&gt;"Perdido",G177&lt;TODAY()),"SIM","")</f>
        <v/>
      </c>
    </row>
    <row r="178">
      <c r="F178" s="16" t="n"/>
      <c r="G178" s="16" t="n"/>
      <c r="I178" s="17" t="n"/>
      <c r="K178">
        <f>IF(AND(G178&lt;&gt;"",E178&lt;&gt;"Fechado",E178&lt;&gt;"Perdido",G178&lt;TODAY()),"SIM","")</f>
        <v/>
      </c>
    </row>
    <row r="179">
      <c r="F179" s="16" t="n"/>
      <c r="G179" s="16" t="n"/>
      <c r="I179" s="17" t="n"/>
      <c r="K179">
        <f>IF(AND(G179&lt;&gt;"",E179&lt;&gt;"Fechado",E179&lt;&gt;"Perdido",G179&lt;TODAY()),"SIM","")</f>
        <v/>
      </c>
    </row>
    <row r="180">
      <c r="F180" s="16" t="n"/>
      <c r="G180" s="16" t="n"/>
      <c r="I180" s="17" t="n"/>
      <c r="K180">
        <f>IF(AND(G180&lt;&gt;"",E180&lt;&gt;"Fechado",E180&lt;&gt;"Perdido",G180&lt;TODAY()),"SIM","")</f>
        <v/>
      </c>
    </row>
    <row r="181">
      <c r="F181" s="16" t="n"/>
      <c r="G181" s="16" t="n"/>
      <c r="I181" s="17" t="n"/>
      <c r="K181">
        <f>IF(AND(G181&lt;&gt;"",E181&lt;&gt;"Fechado",E181&lt;&gt;"Perdido",G181&lt;TODAY()),"SIM","")</f>
        <v/>
      </c>
    </row>
    <row r="182">
      <c r="F182" s="16" t="n"/>
      <c r="G182" s="16" t="n"/>
      <c r="I182" s="17" t="n"/>
      <c r="K182">
        <f>IF(AND(G182&lt;&gt;"",E182&lt;&gt;"Fechado",E182&lt;&gt;"Perdido",G182&lt;TODAY()),"SIM","")</f>
        <v/>
      </c>
    </row>
    <row r="183">
      <c r="F183" s="16" t="n"/>
      <c r="G183" s="16" t="n"/>
      <c r="I183" s="17" t="n"/>
      <c r="K183">
        <f>IF(AND(G183&lt;&gt;"",E183&lt;&gt;"Fechado",E183&lt;&gt;"Perdido",G183&lt;TODAY()),"SIM","")</f>
        <v/>
      </c>
    </row>
    <row r="184">
      <c r="F184" s="16" t="n"/>
      <c r="G184" s="16" t="n"/>
      <c r="I184" s="17" t="n"/>
      <c r="K184">
        <f>IF(AND(G184&lt;&gt;"",E184&lt;&gt;"Fechado",E184&lt;&gt;"Perdido",G184&lt;TODAY()),"SIM","")</f>
        <v/>
      </c>
    </row>
    <row r="185">
      <c r="F185" s="16" t="n"/>
      <c r="G185" s="16" t="n"/>
      <c r="I185" s="17" t="n"/>
      <c r="K185">
        <f>IF(AND(G185&lt;&gt;"",E185&lt;&gt;"Fechado",E185&lt;&gt;"Perdido",G185&lt;TODAY()),"SIM","")</f>
        <v/>
      </c>
    </row>
    <row r="186">
      <c r="F186" s="16" t="n"/>
      <c r="G186" s="16" t="n"/>
      <c r="I186" s="17" t="n"/>
      <c r="K186">
        <f>IF(AND(G186&lt;&gt;"",E186&lt;&gt;"Fechado",E186&lt;&gt;"Perdido",G186&lt;TODAY()),"SIM","")</f>
        <v/>
      </c>
    </row>
    <row r="187">
      <c r="F187" s="16" t="n"/>
      <c r="G187" s="16" t="n"/>
      <c r="I187" s="17" t="n"/>
      <c r="K187">
        <f>IF(AND(G187&lt;&gt;"",E187&lt;&gt;"Fechado",E187&lt;&gt;"Perdido",G187&lt;TODAY()),"SIM","")</f>
        <v/>
      </c>
    </row>
    <row r="188">
      <c r="F188" s="16" t="n"/>
      <c r="G188" s="16" t="n"/>
      <c r="I188" s="17" t="n"/>
      <c r="K188">
        <f>IF(AND(G188&lt;&gt;"",E188&lt;&gt;"Fechado",E188&lt;&gt;"Perdido",G188&lt;TODAY()),"SIM","")</f>
        <v/>
      </c>
    </row>
    <row r="189">
      <c r="F189" s="16" t="n"/>
      <c r="G189" s="16" t="n"/>
      <c r="I189" s="17" t="n"/>
      <c r="K189">
        <f>IF(AND(G189&lt;&gt;"",E189&lt;&gt;"Fechado",E189&lt;&gt;"Perdido",G189&lt;TODAY()),"SIM","")</f>
        <v/>
      </c>
    </row>
    <row r="190">
      <c r="F190" s="16" t="n"/>
      <c r="G190" s="16" t="n"/>
      <c r="I190" s="17" t="n"/>
      <c r="K190">
        <f>IF(AND(G190&lt;&gt;"",E190&lt;&gt;"Fechado",E190&lt;&gt;"Perdido",G190&lt;TODAY()),"SIM","")</f>
        <v/>
      </c>
    </row>
    <row r="191">
      <c r="F191" s="16" t="n"/>
      <c r="G191" s="16" t="n"/>
      <c r="I191" s="17" t="n"/>
      <c r="K191">
        <f>IF(AND(G191&lt;&gt;"",E191&lt;&gt;"Fechado",E191&lt;&gt;"Perdido",G191&lt;TODAY()),"SIM","")</f>
        <v/>
      </c>
    </row>
    <row r="192">
      <c r="F192" s="16" t="n"/>
      <c r="G192" s="16" t="n"/>
      <c r="I192" s="17" t="n"/>
      <c r="K192">
        <f>IF(AND(G192&lt;&gt;"",E192&lt;&gt;"Fechado",E192&lt;&gt;"Perdido",G192&lt;TODAY()),"SIM","")</f>
        <v/>
      </c>
    </row>
    <row r="193">
      <c r="F193" s="16" t="n"/>
      <c r="G193" s="16" t="n"/>
      <c r="I193" s="17" t="n"/>
      <c r="K193">
        <f>IF(AND(G193&lt;&gt;"",E193&lt;&gt;"Fechado",E193&lt;&gt;"Perdido",G193&lt;TODAY()),"SIM","")</f>
        <v/>
      </c>
    </row>
    <row r="194">
      <c r="F194" s="16" t="n"/>
      <c r="G194" s="16" t="n"/>
      <c r="I194" s="17" t="n"/>
      <c r="K194">
        <f>IF(AND(G194&lt;&gt;"",E194&lt;&gt;"Fechado",E194&lt;&gt;"Perdido",G194&lt;TODAY()),"SIM","")</f>
        <v/>
      </c>
    </row>
    <row r="195">
      <c r="F195" s="16" t="n"/>
      <c r="G195" s="16" t="n"/>
      <c r="I195" s="17" t="n"/>
      <c r="K195">
        <f>IF(AND(G195&lt;&gt;"",E195&lt;&gt;"Fechado",E195&lt;&gt;"Perdido",G195&lt;TODAY()),"SIM","")</f>
        <v/>
      </c>
    </row>
    <row r="196">
      <c r="F196" s="16" t="n"/>
      <c r="G196" s="16" t="n"/>
      <c r="I196" s="17" t="n"/>
      <c r="K196">
        <f>IF(AND(G196&lt;&gt;"",E196&lt;&gt;"Fechado",E196&lt;&gt;"Perdido",G196&lt;TODAY()),"SIM","")</f>
        <v/>
      </c>
    </row>
    <row r="197">
      <c r="F197" s="16" t="n"/>
      <c r="G197" s="16" t="n"/>
      <c r="I197" s="17" t="n"/>
      <c r="K197">
        <f>IF(AND(G197&lt;&gt;"",E197&lt;&gt;"Fechado",E197&lt;&gt;"Perdido",G197&lt;TODAY()),"SIM","")</f>
        <v/>
      </c>
    </row>
    <row r="198">
      <c r="F198" s="16" t="n"/>
      <c r="G198" s="16" t="n"/>
      <c r="I198" s="17" t="n"/>
      <c r="K198">
        <f>IF(AND(G198&lt;&gt;"",E198&lt;&gt;"Fechado",E198&lt;&gt;"Perdido",G198&lt;TODAY()),"SIM","")</f>
        <v/>
      </c>
    </row>
    <row r="199">
      <c r="F199" s="16" t="n"/>
      <c r="G199" s="16" t="n"/>
      <c r="I199" s="17" t="n"/>
      <c r="K199">
        <f>IF(AND(G199&lt;&gt;"",E199&lt;&gt;"Fechado",E199&lt;&gt;"Perdido",G199&lt;TODAY()),"SIM","")</f>
        <v/>
      </c>
    </row>
    <row r="200">
      <c r="F200" s="16" t="n"/>
      <c r="G200" s="16" t="n"/>
      <c r="I200" s="17" t="n"/>
      <c r="K200">
        <f>IF(AND(G200&lt;&gt;"",E200&lt;&gt;"Fechado",E200&lt;&gt;"Perdido",G200&lt;TODAY()),"SIM","")</f>
        <v/>
      </c>
    </row>
    <row r="201">
      <c r="F201" s="16" t="n"/>
      <c r="G201" s="16" t="n"/>
      <c r="I201" s="17" t="n"/>
      <c r="K201">
        <f>IF(AND(G201&lt;&gt;"",E201&lt;&gt;"Fechado",E201&lt;&gt;"Perdido",G201&lt;TODAY()),"SIM","")</f>
        <v/>
      </c>
    </row>
    <row r="202">
      <c r="F202" s="16" t="n"/>
      <c r="G202" s="16" t="n"/>
      <c r="I202" s="17" t="n"/>
      <c r="K202">
        <f>IF(AND(G202&lt;&gt;"",E202&lt;&gt;"Fechado",E202&lt;&gt;"Perdido",G202&lt;TODAY()),"SIM","")</f>
        <v/>
      </c>
    </row>
    <row r="203">
      <c r="F203" s="16" t="n"/>
      <c r="G203" s="16" t="n"/>
      <c r="I203" s="17" t="n"/>
      <c r="K203">
        <f>IF(AND(G203&lt;&gt;"",E203&lt;&gt;"Fechado",E203&lt;&gt;"Perdido",G203&lt;TODAY()),"SIM","")</f>
        <v/>
      </c>
    </row>
    <row r="204">
      <c r="F204" s="16" t="n"/>
      <c r="G204" s="16" t="n"/>
      <c r="I204" s="17" t="n"/>
      <c r="K204">
        <f>IF(AND(G204&lt;&gt;"",E204&lt;&gt;"Fechado",E204&lt;&gt;"Perdido",G204&lt;TODAY()),"SIM","")</f>
        <v/>
      </c>
    </row>
    <row r="205">
      <c r="F205" s="16" t="n"/>
      <c r="G205" s="16" t="n"/>
      <c r="I205" s="17" t="n"/>
      <c r="K205">
        <f>IF(AND(G205&lt;&gt;"",E205&lt;&gt;"Fechado",E205&lt;&gt;"Perdido",G205&lt;TODAY()),"SIM","")</f>
        <v/>
      </c>
    </row>
    <row r="206">
      <c r="F206" s="16" t="n"/>
      <c r="G206" s="16" t="n"/>
      <c r="I206" s="17" t="n"/>
      <c r="K206">
        <f>IF(AND(G206&lt;&gt;"",E206&lt;&gt;"Fechado",E206&lt;&gt;"Perdido",G206&lt;TODAY()),"SIM","")</f>
        <v/>
      </c>
    </row>
    <row r="207">
      <c r="F207" s="16" t="n"/>
      <c r="G207" s="16" t="n"/>
      <c r="I207" s="17" t="n"/>
      <c r="K207">
        <f>IF(AND(G207&lt;&gt;"",E207&lt;&gt;"Fechado",E207&lt;&gt;"Perdido",G207&lt;TODAY()),"SIM","")</f>
        <v/>
      </c>
    </row>
    <row r="208">
      <c r="F208" s="16" t="n"/>
      <c r="G208" s="16" t="n"/>
      <c r="I208" s="17" t="n"/>
      <c r="K208">
        <f>IF(AND(G208&lt;&gt;"",E208&lt;&gt;"Fechado",E208&lt;&gt;"Perdido",G208&lt;TODAY()),"SIM","")</f>
        <v/>
      </c>
    </row>
    <row r="209">
      <c r="F209" s="16" t="n"/>
      <c r="G209" s="16" t="n"/>
      <c r="I209" s="17" t="n"/>
      <c r="K209">
        <f>IF(AND(G209&lt;&gt;"",E209&lt;&gt;"Fechado",E209&lt;&gt;"Perdido",G209&lt;TODAY()),"SIM","")</f>
        <v/>
      </c>
    </row>
    <row r="210">
      <c r="F210" s="16" t="n"/>
      <c r="G210" s="16" t="n"/>
      <c r="I210" s="17" t="n"/>
      <c r="K210">
        <f>IF(AND(G210&lt;&gt;"",E210&lt;&gt;"Fechado",E210&lt;&gt;"Perdido",G210&lt;TODAY()),"SIM","")</f>
        <v/>
      </c>
    </row>
    <row r="211">
      <c r="F211" s="16" t="n"/>
      <c r="G211" s="16" t="n"/>
      <c r="I211" s="17" t="n"/>
      <c r="K211">
        <f>IF(AND(G211&lt;&gt;"",E211&lt;&gt;"Fechado",E211&lt;&gt;"Perdido",G211&lt;TODAY()),"SIM","")</f>
        <v/>
      </c>
    </row>
    <row r="212">
      <c r="F212" s="16" t="n"/>
      <c r="G212" s="16" t="n"/>
      <c r="I212" s="17" t="n"/>
      <c r="K212">
        <f>IF(AND(G212&lt;&gt;"",E212&lt;&gt;"Fechado",E212&lt;&gt;"Perdido",G212&lt;TODAY()),"SIM","")</f>
        <v/>
      </c>
    </row>
    <row r="213">
      <c r="F213" s="16" t="n"/>
      <c r="G213" s="16" t="n"/>
      <c r="I213" s="17" t="n"/>
      <c r="K213">
        <f>IF(AND(G213&lt;&gt;"",E213&lt;&gt;"Fechado",E213&lt;&gt;"Perdido",G213&lt;TODAY()),"SIM","")</f>
        <v/>
      </c>
    </row>
    <row r="214">
      <c r="F214" s="16" t="n"/>
      <c r="G214" s="16" t="n"/>
      <c r="I214" s="17" t="n"/>
      <c r="K214">
        <f>IF(AND(G214&lt;&gt;"",E214&lt;&gt;"Fechado",E214&lt;&gt;"Perdido",G214&lt;TODAY()),"SIM","")</f>
        <v/>
      </c>
    </row>
    <row r="215">
      <c r="F215" s="16" t="n"/>
      <c r="G215" s="16" t="n"/>
      <c r="I215" s="17" t="n"/>
      <c r="K215">
        <f>IF(AND(G215&lt;&gt;"",E215&lt;&gt;"Fechado",E215&lt;&gt;"Perdido",G215&lt;TODAY()),"SIM","")</f>
        <v/>
      </c>
    </row>
    <row r="216">
      <c r="F216" s="16" t="n"/>
      <c r="G216" s="16" t="n"/>
      <c r="I216" s="17" t="n"/>
      <c r="K216">
        <f>IF(AND(G216&lt;&gt;"",E216&lt;&gt;"Fechado",E216&lt;&gt;"Perdido",G216&lt;TODAY()),"SIM","")</f>
        <v/>
      </c>
    </row>
    <row r="217">
      <c r="F217" s="16" t="n"/>
      <c r="G217" s="16" t="n"/>
      <c r="I217" s="17" t="n"/>
      <c r="K217">
        <f>IF(AND(G217&lt;&gt;"",E217&lt;&gt;"Fechado",E217&lt;&gt;"Perdido",G217&lt;TODAY()),"SIM","")</f>
        <v/>
      </c>
    </row>
    <row r="218">
      <c r="F218" s="16" t="n"/>
      <c r="G218" s="16" t="n"/>
      <c r="I218" s="17" t="n"/>
      <c r="K218">
        <f>IF(AND(G218&lt;&gt;"",E218&lt;&gt;"Fechado",E218&lt;&gt;"Perdido",G218&lt;TODAY()),"SIM","")</f>
        <v/>
      </c>
    </row>
    <row r="219">
      <c r="F219" s="16" t="n"/>
      <c r="G219" s="16" t="n"/>
      <c r="I219" s="17" t="n"/>
      <c r="K219">
        <f>IF(AND(G219&lt;&gt;"",E219&lt;&gt;"Fechado",E219&lt;&gt;"Perdido",G219&lt;TODAY()),"SIM","")</f>
        <v/>
      </c>
    </row>
    <row r="220">
      <c r="F220" s="16" t="n"/>
      <c r="G220" s="16" t="n"/>
      <c r="I220" s="17" t="n"/>
      <c r="K220">
        <f>IF(AND(G220&lt;&gt;"",E220&lt;&gt;"Fechado",E220&lt;&gt;"Perdido",G220&lt;TODAY()),"SIM","")</f>
        <v/>
      </c>
    </row>
    <row r="221">
      <c r="F221" s="16" t="n"/>
      <c r="G221" s="16" t="n"/>
      <c r="I221" s="17" t="n"/>
      <c r="K221">
        <f>IF(AND(G221&lt;&gt;"",E221&lt;&gt;"Fechado",E221&lt;&gt;"Perdido",G221&lt;TODAY()),"SIM","")</f>
        <v/>
      </c>
    </row>
    <row r="222">
      <c r="F222" s="16" t="n"/>
      <c r="G222" s="16" t="n"/>
      <c r="I222" s="17" t="n"/>
      <c r="K222">
        <f>IF(AND(G222&lt;&gt;"",E222&lt;&gt;"Fechado",E222&lt;&gt;"Perdido",G222&lt;TODAY()),"SIM","")</f>
        <v/>
      </c>
    </row>
    <row r="223">
      <c r="F223" s="16" t="n"/>
      <c r="G223" s="16" t="n"/>
      <c r="I223" s="17" t="n"/>
      <c r="K223">
        <f>IF(AND(G223&lt;&gt;"",E223&lt;&gt;"Fechado",E223&lt;&gt;"Perdido",G223&lt;TODAY()),"SIM","")</f>
        <v/>
      </c>
    </row>
    <row r="224">
      <c r="F224" s="16" t="n"/>
      <c r="G224" s="16" t="n"/>
      <c r="I224" s="17" t="n"/>
      <c r="K224">
        <f>IF(AND(G224&lt;&gt;"",E224&lt;&gt;"Fechado",E224&lt;&gt;"Perdido",G224&lt;TODAY()),"SIM","")</f>
        <v/>
      </c>
    </row>
    <row r="225">
      <c r="F225" s="16" t="n"/>
      <c r="G225" s="16" t="n"/>
      <c r="I225" s="17" t="n"/>
      <c r="K225">
        <f>IF(AND(G225&lt;&gt;"",E225&lt;&gt;"Fechado",E225&lt;&gt;"Perdido",G225&lt;TODAY()),"SIM","")</f>
        <v/>
      </c>
    </row>
    <row r="226">
      <c r="F226" s="16" t="n"/>
      <c r="G226" s="16" t="n"/>
      <c r="I226" s="17" t="n"/>
      <c r="K226">
        <f>IF(AND(G226&lt;&gt;"",E226&lt;&gt;"Fechado",E226&lt;&gt;"Perdido",G226&lt;TODAY()),"SIM","")</f>
        <v/>
      </c>
    </row>
    <row r="227">
      <c r="F227" s="16" t="n"/>
      <c r="G227" s="16" t="n"/>
      <c r="I227" s="17" t="n"/>
      <c r="K227">
        <f>IF(AND(G227&lt;&gt;"",E227&lt;&gt;"Fechado",E227&lt;&gt;"Perdido",G227&lt;TODAY()),"SIM","")</f>
        <v/>
      </c>
    </row>
    <row r="228">
      <c r="F228" s="16" t="n"/>
      <c r="G228" s="16" t="n"/>
      <c r="I228" s="17" t="n"/>
      <c r="K228">
        <f>IF(AND(G228&lt;&gt;"",E228&lt;&gt;"Fechado",E228&lt;&gt;"Perdido",G228&lt;TODAY()),"SIM","")</f>
        <v/>
      </c>
    </row>
    <row r="229">
      <c r="F229" s="16" t="n"/>
      <c r="G229" s="16" t="n"/>
      <c r="I229" s="17" t="n"/>
      <c r="K229">
        <f>IF(AND(G229&lt;&gt;"",E229&lt;&gt;"Fechado",E229&lt;&gt;"Perdido",G229&lt;TODAY()),"SIM","")</f>
        <v/>
      </c>
    </row>
    <row r="230">
      <c r="F230" s="16" t="n"/>
      <c r="G230" s="16" t="n"/>
      <c r="I230" s="17" t="n"/>
      <c r="K230">
        <f>IF(AND(G230&lt;&gt;"",E230&lt;&gt;"Fechado",E230&lt;&gt;"Perdido",G230&lt;TODAY()),"SIM","")</f>
        <v/>
      </c>
    </row>
    <row r="231">
      <c r="F231" s="16" t="n"/>
      <c r="G231" s="16" t="n"/>
      <c r="I231" s="17" t="n"/>
      <c r="K231">
        <f>IF(AND(G231&lt;&gt;"",E231&lt;&gt;"Fechado",E231&lt;&gt;"Perdido",G231&lt;TODAY()),"SIM","")</f>
        <v/>
      </c>
    </row>
    <row r="232">
      <c r="F232" s="16" t="n"/>
      <c r="G232" s="16" t="n"/>
      <c r="I232" s="17" t="n"/>
      <c r="K232">
        <f>IF(AND(G232&lt;&gt;"",E232&lt;&gt;"Fechado",E232&lt;&gt;"Perdido",G232&lt;TODAY()),"SIM","")</f>
        <v/>
      </c>
    </row>
    <row r="233">
      <c r="F233" s="16" t="n"/>
      <c r="G233" s="16" t="n"/>
      <c r="I233" s="17" t="n"/>
      <c r="K233">
        <f>IF(AND(G233&lt;&gt;"",E233&lt;&gt;"Fechado",E233&lt;&gt;"Perdido",G233&lt;TODAY()),"SIM","")</f>
        <v/>
      </c>
    </row>
    <row r="234">
      <c r="F234" s="16" t="n"/>
      <c r="G234" s="16" t="n"/>
      <c r="I234" s="17" t="n"/>
      <c r="K234">
        <f>IF(AND(G234&lt;&gt;"",E234&lt;&gt;"Fechado",E234&lt;&gt;"Perdido",G234&lt;TODAY()),"SIM","")</f>
        <v/>
      </c>
    </row>
    <row r="235">
      <c r="F235" s="16" t="n"/>
      <c r="G235" s="16" t="n"/>
      <c r="I235" s="17" t="n"/>
      <c r="K235">
        <f>IF(AND(G235&lt;&gt;"",E235&lt;&gt;"Fechado",E235&lt;&gt;"Perdido",G235&lt;TODAY()),"SIM","")</f>
        <v/>
      </c>
    </row>
    <row r="236">
      <c r="F236" s="16" t="n"/>
      <c r="G236" s="16" t="n"/>
      <c r="I236" s="17" t="n"/>
      <c r="K236">
        <f>IF(AND(G236&lt;&gt;"",E236&lt;&gt;"Fechado",E236&lt;&gt;"Perdido",G236&lt;TODAY()),"SIM","")</f>
        <v/>
      </c>
    </row>
    <row r="237">
      <c r="F237" s="16" t="n"/>
      <c r="G237" s="16" t="n"/>
      <c r="I237" s="17" t="n"/>
      <c r="K237">
        <f>IF(AND(G237&lt;&gt;"",E237&lt;&gt;"Fechado",E237&lt;&gt;"Perdido",G237&lt;TODAY()),"SIM","")</f>
        <v/>
      </c>
    </row>
    <row r="238">
      <c r="F238" s="16" t="n"/>
      <c r="G238" s="16" t="n"/>
      <c r="I238" s="17" t="n"/>
      <c r="K238">
        <f>IF(AND(G238&lt;&gt;"",E238&lt;&gt;"Fechado",E238&lt;&gt;"Perdido",G238&lt;TODAY()),"SIM","")</f>
        <v/>
      </c>
    </row>
    <row r="239">
      <c r="F239" s="16" t="n"/>
      <c r="G239" s="16" t="n"/>
      <c r="I239" s="17" t="n"/>
      <c r="K239">
        <f>IF(AND(G239&lt;&gt;"",E239&lt;&gt;"Fechado",E239&lt;&gt;"Perdido",G239&lt;TODAY()),"SIM","")</f>
        <v/>
      </c>
    </row>
    <row r="240">
      <c r="F240" s="16" t="n"/>
      <c r="G240" s="16" t="n"/>
      <c r="I240" s="17" t="n"/>
      <c r="K240">
        <f>IF(AND(G240&lt;&gt;"",E240&lt;&gt;"Fechado",E240&lt;&gt;"Perdido",G240&lt;TODAY()),"SIM","")</f>
        <v/>
      </c>
    </row>
    <row r="241">
      <c r="F241" s="16" t="n"/>
      <c r="G241" s="16" t="n"/>
      <c r="I241" s="17" t="n"/>
      <c r="K241">
        <f>IF(AND(G241&lt;&gt;"",E241&lt;&gt;"Fechado",E241&lt;&gt;"Perdido",G241&lt;TODAY()),"SIM","")</f>
        <v/>
      </c>
    </row>
    <row r="242">
      <c r="F242" s="16" t="n"/>
      <c r="G242" s="16" t="n"/>
      <c r="I242" s="17" t="n"/>
      <c r="K242">
        <f>IF(AND(G242&lt;&gt;"",E242&lt;&gt;"Fechado",E242&lt;&gt;"Perdido",G242&lt;TODAY()),"SIM","")</f>
        <v/>
      </c>
    </row>
    <row r="243">
      <c r="F243" s="16" t="n"/>
      <c r="G243" s="16" t="n"/>
      <c r="I243" s="17" t="n"/>
      <c r="K243">
        <f>IF(AND(G243&lt;&gt;"",E243&lt;&gt;"Fechado",E243&lt;&gt;"Perdido",G243&lt;TODAY()),"SIM","")</f>
        <v/>
      </c>
    </row>
    <row r="244">
      <c r="F244" s="16" t="n"/>
      <c r="G244" s="16" t="n"/>
      <c r="I244" s="17" t="n"/>
      <c r="K244">
        <f>IF(AND(G244&lt;&gt;"",E244&lt;&gt;"Fechado",E244&lt;&gt;"Perdido",G244&lt;TODAY()),"SIM","")</f>
        <v/>
      </c>
    </row>
    <row r="245">
      <c r="F245" s="16" t="n"/>
      <c r="G245" s="16" t="n"/>
      <c r="I245" s="17" t="n"/>
      <c r="K245">
        <f>IF(AND(G245&lt;&gt;"",E245&lt;&gt;"Fechado",E245&lt;&gt;"Perdido",G245&lt;TODAY()),"SIM","")</f>
        <v/>
      </c>
    </row>
    <row r="246">
      <c r="F246" s="16" t="n"/>
      <c r="G246" s="16" t="n"/>
      <c r="I246" s="17" t="n"/>
      <c r="K246">
        <f>IF(AND(G246&lt;&gt;"",E246&lt;&gt;"Fechado",E246&lt;&gt;"Perdido",G246&lt;TODAY()),"SIM","")</f>
        <v/>
      </c>
    </row>
    <row r="247">
      <c r="F247" s="16" t="n"/>
      <c r="G247" s="16" t="n"/>
      <c r="I247" s="17" t="n"/>
      <c r="K247">
        <f>IF(AND(G247&lt;&gt;"",E247&lt;&gt;"Fechado",E247&lt;&gt;"Perdido",G247&lt;TODAY()),"SIM","")</f>
        <v/>
      </c>
    </row>
    <row r="248">
      <c r="F248" s="16" t="n"/>
      <c r="G248" s="16" t="n"/>
      <c r="I248" s="17" t="n"/>
      <c r="K248">
        <f>IF(AND(G248&lt;&gt;"",E248&lt;&gt;"Fechado",E248&lt;&gt;"Perdido",G248&lt;TODAY()),"SIM","")</f>
        <v/>
      </c>
    </row>
    <row r="249">
      <c r="F249" s="16" t="n"/>
      <c r="G249" s="16" t="n"/>
      <c r="I249" s="17" t="n"/>
      <c r="K249">
        <f>IF(AND(G249&lt;&gt;"",E249&lt;&gt;"Fechado",E249&lt;&gt;"Perdido",G249&lt;TODAY()),"SIM","")</f>
        <v/>
      </c>
    </row>
    <row r="250">
      <c r="F250" s="16" t="n"/>
      <c r="G250" s="16" t="n"/>
      <c r="I250" s="17" t="n"/>
      <c r="K250">
        <f>IF(AND(G250&lt;&gt;"",E250&lt;&gt;"Fechado",E250&lt;&gt;"Perdido",G250&lt;TODAY()),"SIM","")</f>
        <v/>
      </c>
    </row>
    <row r="251">
      <c r="F251" s="16" t="n"/>
      <c r="G251" s="16" t="n"/>
      <c r="I251" s="17" t="n"/>
      <c r="K251">
        <f>IF(AND(G251&lt;&gt;"",E251&lt;&gt;"Fechado",E251&lt;&gt;"Perdido",G251&lt;TODAY()),"SIM","")</f>
        <v/>
      </c>
    </row>
    <row r="252">
      <c r="F252" s="16" t="n"/>
      <c r="G252" s="16" t="n"/>
      <c r="I252" s="17" t="n"/>
      <c r="K252">
        <f>IF(AND(G252&lt;&gt;"",E252&lt;&gt;"Fechado",E252&lt;&gt;"Perdido",G252&lt;TODAY()),"SIM","")</f>
        <v/>
      </c>
    </row>
    <row r="253">
      <c r="F253" s="16" t="n"/>
      <c r="G253" s="16" t="n"/>
      <c r="I253" s="17" t="n"/>
      <c r="K253">
        <f>IF(AND(G253&lt;&gt;"",E253&lt;&gt;"Fechado",E253&lt;&gt;"Perdido",G253&lt;TODAY()),"SIM","")</f>
        <v/>
      </c>
    </row>
    <row r="254">
      <c r="F254" s="16" t="n"/>
      <c r="G254" s="16" t="n"/>
      <c r="I254" s="17" t="n"/>
      <c r="K254">
        <f>IF(AND(G254&lt;&gt;"",E254&lt;&gt;"Fechado",E254&lt;&gt;"Perdido",G254&lt;TODAY()),"SIM","")</f>
        <v/>
      </c>
    </row>
    <row r="255">
      <c r="F255" s="16" t="n"/>
      <c r="G255" s="16" t="n"/>
      <c r="I255" s="17" t="n"/>
      <c r="K255">
        <f>IF(AND(G255&lt;&gt;"",E255&lt;&gt;"Fechado",E255&lt;&gt;"Perdido",G255&lt;TODAY()),"SIM","")</f>
        <v/>
      </c>
    </row>
    <row r="256">
      <c r="F256" s="16" t="n"/>
      <c r="G256" s="16" t="n"/>
      <c r="I256" s="17" t="n"/>
      <c r="K256">
        <f>IF(AND(G256&lt;&gt;"",E256&lt;&gt;"Fechado",E256&lt;&gt;"Perdido",G256&lt;TODAY()),"SIM","")</f>
        <v/>
      </c>
    </row>
    <row r="257">
      <c r="F257" s="16" t="n"/>
      <c r="G257" s="16" t="n"/>
      <c r="I257" s="17" t="n"/>
      <c r="K257">
        <f>IF(AND(G257&lt;&gt;"",E257&lt;&gt;"Fechado",E257&lt;&gt;"Perdido",G257&lt;TODAY()),"SIM","")</f>
        <v/>
      </c>
    </row>
    <row r="258">
      <c r="F258" s="16" t="n"/>
      <c r="G258" s="16" t="n"/>
      <c r="I258" s="17" t="n"/>
      <c r="K258">
        <f>IF(AND(G258&lt;&gt;"",E258&lt;&gt;"Fechado",E258&lt;&gt;"Perdido",G258&lt;TODAY()),"SIM","")</f>
        <v/>
      </c>
    </row>
    <row r="259">
      <c r="F259" s="16" t="n"/>
      <c r="G259" s="16" t="n"/>
      <c r="I259" s="17" t="n"/>
      <c r="K259">
        <f>IF(AND(G259&lt;&gt;"",E259&lt;&gt;"Fechado",E259&lt;&gt;"Perdido",G259&lt;TODAY()),"SIM","")</f>
        <v/>
      </c>
    </row>
    <row r="260">
      <c r="F260" s="16" t="n"/>
      <c r="G260" s="16" t="n"/>
      <c r="I260" s="17" t="n"/>
      <c r="K260">
        <f>IF(AND(G260&lt;&gt;"",E260&lt;&gt;"Fechado",E260&lt;&gt;"Perdido",G260&lt;TODAY()),"SIM","")</f>
        <v/>
      </c>
    </row>
    <row r="261">
      <c r="F261" s="16" t="n"/>
      <c r="G261" s="16" t="n"/>
      <c r="I261" s="17" t="n"/>
      <c r="K261">
        <f>IF(AND(G261&lt;&gt;"",E261&lt;&gt;"Fechado",E261&lt;&gt;"Perdido",G261&lt;TODAY()),"SIM","")</f>
        <v/>
      </c>
    </row>
    <row r="262">
      <c r="F262" s="16" t="n"/>
      <c r="G262" s="16" t="n"/>
      <c r="I262" s="17" t="n"/>
      <c r="K262">
        <f>IF(AND(G262&lt;&gt;"",E262&lt;&gt;"Fechado",E262&lt;&gt;"Perdido",G262&lt;TODAY()),"SIM","")</f>
        <v/>
      </c>
    </row>
    <row r="263">
      <c r="F263" s="16" t="n"/>
      <c r="G263" s="16" t="n"/>
      <c r="I263" s="17" t="n"/>
      <c r="K263">
        <f>IF(AND(G263&lt;&gt;"",E263&lt;&gt;"Fechado",E263&lt;&gt;"Perdido",G263&lt;TODAY()),"SIM","")</f>
        <v/>
      </c>
    </row>
    <row r="264">
      <c r="F264" s="16" t="n"/>
      <c r="G264" s="16" t="n"/>
      <c r="I264" s="17" t="n"/>
      <c r="K264">
        <f>IF(AND(G264&lt;&gt;"",E264&lt;&gt;"Fechado",E264&lt;&gt;"Perdido",G264&lt;TODAY()),"SIM","")</f>
        <v/>
      </c>
    </row>
    <row r="265">
      <c r="F265" s="16" t="n"/>
      <c r="G265" s="16" t="n"/>
      <c r="I265" s="17" t="n"/>
      <c r="K265">
        <f>IF(AND(G265&lt;&gt;"",E265&lt;&gt;"Fechado",E265&lt;&gt;"Perdido",G265&lt;TODAY()),"SIM","")</f>
        <v/>
      </c>
    </row>
    <row r="266">
      <c r="F266" s="16" t="n"/>
      <c r="G266" s="16" t="n"/>
      <c r="I266" s="17" t="n"/>
      <c r="K266">
        <f>IF(AND(G266&lt;&gt;"",E266&lt;&gt;"Fechado",E266&lt;&gt;"Perdido",G266&lt;TODAY()),"SIM","")</f>
        <v/>
      </c>
    </row>
    <row r="267">
      <c r="F267" s="16" t="n"/>
      <c r="G267" s="16" t="n"/>
      <c r="I267" s="17" t="n"/>
      <c r="K267">
        <f>IF(AND(G267&lt;&gt;"",E267&lt;&gt;"Fechado",E267&lt;&gt;"Perdido",G267&lt;TODAY()),"SIM","")</f>
        <v/>
      </c>
    </row>
    <row r="268">
      <c r="F268" s="16" t="n"/>
      <c r="G268" s="16" t="n"/>
      <c r="I268" s="17" t="n"/>
      <c r="K268">
        <f>IF(AND(G268&lt;&gt;"",E268&lt;&gt;"Fechado",E268&lt;&gt;"Perdido",G268&lt;TODAY()),"SIM","")</f>
        <v/>
      </c>
    </row>
    <row r="269">
      <c r="F269" s="16" t="n"/>
      <c r="G269" s="16" t="n"/>
      <c r="I269" s="17" t="n"/>
      <c r="K269">
        <f>IF(AND(G269&lt;&gt;"",E269&lt;&gt;"Fechado",E269&lt;&gt;"Perdido",G269&lt;TODAY()),"SIM","")</f>
        <v/>
      </c>
    </row>
    <row r="270">
      <c r="F270" s="16" t="n"/>
      <c r="G270" s="16" t="n"/>
      <c r="I270" s="17" t="n"/>
      <c r="K270">
        <f>IF(AND(G270&lt;&gt;"",E270&lt;&gt;"Fechado",E270&lt;&gt;"Perdido",G270&lt;TODAY()),"SIM","")</f>
        <v/>
      </c>
    </row>
    <row r="271">
      <c r="F271" s="16" t="n"/>
      <c r="G271" s="16" t="n"/>
      <c r="I271" s="17" t="n"/>
      <c r="K271">
        <f>IF(AND(G271&lt;&gt;"",E271&lt;&gt;"Fechado",E271&lt;&gt;"Perdido",G271&lt;TODAY()),"SIM","")</f>
        <v/>
      </c>
    </row>
    <row r="272">
      <c r="F272" s="16" t="n"/>
      <c r="G272" s="16" t="n"/>
      <c r="I272" s="17" t="n"/>
      <c r="K272">
        <f>IF(AND(G272&lt;&gt;"",E272&lt;&gt;"Fechado",E272&lt;&gt;"Perdido",G272&lt;TODAY()),"SIM","")</f>
        <v/>
      </c>
    </row>
    <row r="273">
      <c r="F273" s="16" t="n"/>
      <c r="G273" s="16" t="n"/>
      <c r="I273" s="17" t="n"/>
      <c r="K273">
        <f>IF(AND(G273&lt;&gt;"",E273&lt;&gt;"Fechado",E273&lt;&gt;"Perdido",G273&lt;TODAY()),"SIM","")</f>
        <v/>
      </c>
    </row>
    <row r="274">
      <c r="F274" s="16" t="n"/>
      <c r="G274" s="16" t="n"/>
      <c r="I274" s="17" t="n"/>
      <c r="K274">
        <f>IF(AND(G274&lt;&gt;"",E274&lt;&gt;"Fechado",E274&lt;&gt;"Perdido",G274&lt;TODAY()),"SIM","")</f>
        <v/>
      </c>
    </row>
    <row r="275">
      <c r="F275" s="16" t="n"/>
      <c r="G275" s="16" t="n"/>
      <c r="I275" s="17" t="n"/>
      <c r="K275">
        <f>IF(AND(G275&lt;&gt;"",E275&lt;&gt;"Fechado",E275&lt;&gt;"Perdido",G275&lt;TODAY()),"SIM","")</f>
        <v/>
      </c>
    </row>
    <row r="276">
      <c r="F276" s="16" t="n"/>
      <c r="G276" s="16" t="n"/>
      <c r="I276" s="17" t="n"/>
      <c r="K276">
        <f>IF(AND(G276&lt;&gt;"",E276&lt;&gt;"Fechado",E276&lt;&gt;"Perdido",G276&lt;TODAY()),"SIM","")</f>
        <v/>
      </c>
    </row>
    <row r="277">
      <c r="F277" s="16" t="n"/>
      <c r="G277" s="16" t="n"/>
      <c r="I277" s="17" t="n"/>
      <c r="K277">
        <f>IF(AND(G277&lt;&gt;"",E277&lt;&gt;"Fechado",E277&lt;&gt;"Perdido",G277&lt;TODAY()),"SIM","")</f>
        <v/>
      </c>
    </row>
    <row r="278">
      <c r="F278" s="16" t="n"/>
      <c r="G278" s="16" t="n"/>
      <c r="I278" s="17" t="n"/>
      <c r="K278">
        <f>IF(AND(G278&lt;&gt;"",E278&lt;&gt;"Fechado",E278&lt;&gt;"Perdido",G278&lt;TODAY()),"SIM","")</f>
        <v/>
      </c>
    </row>
    <row r="279">
      <c r="F279" s="16" t="n"/>
      <c r="G279" s="16" t="n"/>
      <c r="I279" s="17" t="n"/>
      <c r="K279">
        <f>IF(AND(G279&lt;&gt;"",E279&lt;&gt;"Fechado",E279&lt;&gt;"Perdido",G279&lt;TODAY()),"SIM","")</f>
        <v/>
      </c>
    </row>
    <row r="280">
      <c r="F280" s="16" t="n"/>
      <c r="G280" s="16" t="n"/>
      <c r="I280" s="17" t="n"/>
      <c r="K280">
        <f>IF(AND(G280&lt;&gt;"",E280&lt;&gt;"Fechado",E280&lt;&gt;"Perdido",G280&lt;TODAY()),"SIM","")</f>
        <v/>
      </c>
    </row>
    <row r="281">
      <c r="F281" s="16" t="n"/>
      <c r="G281" s="16" t="n"/>
      <c r="I281" s="17" t="n"/>
      <c r="K281">
        <f>IF(AND(G281&lt;&gt;"",E281&lt;&gt;"Fechado",E281&lt;&gt;"Perdido",G281&lt;TODAY()),"SIM","")</f>
        <v/>
      </c>
    </row>
    <row r="282">
      <c r="F282" s="16" t="n"/>
      <c r="G282" s="16" t="n"/>
      <c r="I282" s="17" t="n"/>
      <c r="K282">
        <f>IF(AND(G282&lt;&gt;"",E282&lt;&gt;"Fechado",E282&lt;&gt;"Perdido",G282&lt;TODAY()),"SIM","")</f>
        <v/>
      </c>
    </row>
    <row r="283">
      <c r="F283" s="16" t="n"/>
      <c r="G283" s="16" t="n"/>
      <c r="I283" s="17" t="n"/>
      <c r="K283">
        <f>IF(AND(G283&lt;&gt;"",E283&lt;&gt;"Fechado",E283&lt;&gt;"Perdido",G283&lt;TODAY()),"SIM","")</f>
        <v/>
      </c>
    </row>
    <row r="284">
      <c r="F284" s="16" t="n"/>
      <c r="G284" s="16" t="n"/>
      <c r="I284" s="17" t="n"/>
      <c r="K284">
        <f>IF(AND(G284&lt;&gt;"",E284&lt;&gt;"Fechado",E284&lt;&gt;"Perdido",G284&lt;TODAY()),"SIM","")</f>
        <v/>
      </c>
    </row>
    <row r="285">
      <c r="F285" s="16" t="n"/>
      <c r="G285" s="16" t="n"/>
      <c r="I285" s="17" t="n"/>
      <c r="K285">
        <f>IF(AND(G285&lt;&gt;"",E285&lt;&gt;"Fechado",E285&lt;&gt;"Perdido",G285&lt;TODAY()),"SIM","")</f>
        <v/>
      </c>
    </row>
    <row r="286">
      <c r="F286" s="16" t="n"/>
      <c r="G286" s="16" t="n"/>
      <c r="I286" s="17" t="n"/>
      <c r="K286">
        <f>IF(AND(G286&lt;&gt;"",E286&lt;&gt;"Fechado",E286&lt;&gt;"Perdido",G286&lt;TODAY()),"SIM","")</f>
        <v/>
      </c>
    </row>
    <row r="287">
      <c r="F287" s="16" t="n"/>
      <c r="G287" s="16" t="n"/>
      <c r="I287" s="17" t="n"/>
      <c r="K287">
        <f>IF(AND(G287&lt;&gt;"",E287&lt;&gt;"Fechado",E287&lt;&gt;"Perdido",G287&lt;TODAY()),"SIM","")</f>
        <v/>
      </c>
    </row>
    <row r="288">
      <c r="F288" s="16" t="n"/>
      <c r="G288" s="16" t="n"/>
      <c r="I288" s="17" t="n"/>
      <c r="K288">
        <f>IF(AND(G288&lt;&gt;"",E288&lt;&gt;"Fechado",E288&lt;&gt;"Perdido",G288&lt;TODAY()),"SIM","")</f>
        <v/>
      </c>
    </row>
    <row r="289">
      <c r="F289" s="16" t="n"/>
      <c r="G289" s="16" t="n"/>
      <c r="I289" s="17" t="n"/>
      <c r="K289">
        <f>IF(AND(G289&lt;&gt;"",E289&lt;&gt;"Fechado",E289&lt;&gt;"Perdido",G289&lt;TODAY()),"SIM","")</f>
        <v/>
      </c>
    </row>
    <row r="290">
      <c r="F290" s="16" t="n"/>
      <c r="G290" s="16" t="n"/>
      <c r="I290" s="17" t="n"/>
      <c r="K290">
        <f>IF(AND(G290&lt;&gt;"",E290&lt;&gt;"Fechado",E290&lt;&gt;"Perdido",G290&lt;TODAY()),"SIM","")</f>
        <v/>
      </c>
    </row>
    <row r="291">
      <c r="F291" s="16" t="n"/>
      <c r="G291" s="16" t="n"/>
      <c r="I291" s="17" t="n"/>
      <c r="K291">
        <f>IF(AND(G291&lt;&gt;"",E291&lt;&gt;"Fechado",E291&lt;&gt;"Perdido",G291&lt;TODAY()),"SIM","")</f>
        <v/>
      </c>
    </row>
    <row r="292">
      <c r="F292" s="16" t="n"/>
      <c r="G292" s="16" t="n"/>
      <c r="I292" s="17" t="n"/>
      <c r="K292">
        <f>IF(AND(G292&lt;&gt;"",E292&lt;&gt;"Fechado",E292&lt;&gt;"Perdido",G292&lt;TODAY()),"SIM","")</f>
        <v/>
      </c>
    </row>
    <row r="293">
      <c r="F293" s="16" t="n"/>
      <c r="G293" s="16" t="n"/>
      <c r="I293" s="17" t="n"/>
      <c r="K293">
        <f>IF(AND(G293&lt;&gt;"",E293&lt;&gt;"Fechado",E293&lt;&gt;"Perdido",G293&lt;TODAY()),"SIM","")</f>
        <v/>
      </c>
    </row>
    <row r="294">
      <c r="F294" s="16" t="n"/>
      <c r="G294" s="16" t="n"/>
      <c r="I294" s="17" t="n"/>
      <c r="K294">
        <f>IF(AND(G294&lt;&gt;"",E294&lt;&gt;"Fechado",E294&lt;&gt;"Perdido",G294&lt;TODAY()),"SIM","")</f>
        <v/>
      </c>
    </row>
    <row r="295">
      <c r="F295" s="16" t="n"/>
      <c r="G295" s="16" t="n"/>
      <c r="I295" s="17" t="n"/>
      <c r="K295">
        <f>IF(AND(G295&lt;&gt;"",E295&lt;&gt;"Fechado",E295&lt;&gt;"Perdido",G295&lt;TODAY()),"SIM","")</f>
        <v/>
      </c>
    </row>
    <row r="296">
      <c r="F296" s="16" t="n"/>
      <c r="G296" s="16" t="n"/>
      <c r="I296" s="17" t="n"/>
      <c r="K296">
        <f>IF(AND(G296&lt;&gt;"",E296&lt;&gt;"Fechado",E296&lt;&gt;"Perdido",G296&lt;TODAY()),"SIM","")</f>
        <v/>
      </c>
    </row>
    <row r="297">
      <c r="F297" s="16" t="n"/>
      <c r="G297" s="16" t="n"/>
      <c r="I297" s="17" t="n"/>
      <c r="K297">
        <f>IF(AND(G297&lt;&gt;"",E297&lt;&gt;"Fechado",E297&lt;&gt;"Perdido",G297&lt;TODAY()),"SIM","")</f>
        <v/>
      </c>
    </row>
    <row r="298">
      <c r="F298" s="16" t="n"/>
      <c r="G298" s="16" t="n"/>
      <c r="I298" s="17" t="n"/>
      <c r="K298">
        <f>IF(AND(G298&lt;&gt;"",E298&lt;&gt;"Fechado",E298&lt;&gt;"Perdido",G298&lt;TODAY()),"SIM","")</f>
        <v/>
      </c>
    </row>
    <row r="299">
      <c r="F299" s="16" t="n"/>
      <c r="G299" s="16" t="n"/>
      <c r="I299" s="17" t="n"/>
      <c r="K299">
        <f>IF(AND(G299&lt;&gt;"",E299&lt;&gt;"Fechado",E299&lt;&gt;"Perdido",G299&lt;TODAY()),"SIM","")</f>
        <v/>
      </c>
    </row>
    <row r="300">
      <c r="F300" s="16" t="n"/>
      <c r="G300" s="16" t="n"/>
      <c r="I300" s="17" t="n"/>
      <c r="K300">
        <f>IF(AND(G300&lt;&gt;"",E300&lt;&gt;"Fechado",E300&lt;&gt;"Perdido",G300&lt;TODAY()),"SIM","")</f>
        <v/>
      </c>
    </row>
  </sheetData>
  <conditionalFormatting sqref="K5:K300">
    <cfRule type="cellIs" priority="1" operator="equal" dxfId="0">
      <formula>"SIM"</formula>
    </cfRule>
  </conditionalFormatting>
  <dataValidations count="2">
    <dataValidation sqref="E5:E300" showDropDown="0" showInputMessage="0" showErrorMessage="0" allowBlank="1" type="list">
      <formula1>"Lead,Abordado,Respondeu,Diagnóstico,Proposta enviada,Fechado,Perdido"</formula1>
    </dataValidation>
    <dataValidation sqref="D5:D300" showDropDown="0" showInputMessage="0" showErrorMessage="0" allowBlank="1" type="list">
      <formula1>"Instagram,WhatsApp,Google Maps,LinkedIn,Indicação,Plataforma,Outro"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1" customWidth="1" min="3" max="3"/>
    <col width="20" customWidth="1" min="4" max="4"/>
    <col width="14" customWidth="1" min="5" max="5"/>
    <col width="2" customWidth="1" min="6" max="6"/>
    <col width="22" customWidth="1" min="7" max="7"/>
    <col width="16" customWidth="1" min="8" max="8"/>
  </cols>
  <sheetData>
    <row r="1">
      <c r="A1" s="1" t="inlineStr">
        <is>
          <t>Caixa do mês</t>
        </is>
      </c>
    </row>
    <row r="4">
      <c r="A4" s="15" t="inlineStr">
        <is>
          <t>Data</t>
        </is>
      </c>
      <c r="B4" s="15" t="inlineStr">
        <is>
          <t>Descrição</t>
        </is>
      </c>
      <c r="C4" s="15" t="inlineStr">
        <is>
          <t>Tipo</t>
        </is>
      </c>
      <c r="D4" s="15" t="inlineStr">
        <is>
          <t>Categoria</t>
        </is>
      </c>
      <c r="E4" s="15" t="inlineStr">
        <is>
          <t>Valor</t>
        </is>
      </c>
      <c r="G4" s="15" t="inlineStr">
        <is>
          <t>Resumo</t>
        </is>
      </c>
      <c r="H4" s="15" t="inlineStr">
        <is>
          <t>Valor</t>
        </is>
      </c>
    </row>
    <row r="5">
      <c r="A5" s="16" t="n">
        <v>46300</v>
      </c>
      <c r="B5" t="inlineStr">
        <is>
          <t>Clínica Sorriso — mensalidade (exemplo)</t>
        </is>
      </c>
      <c r="C5" t="inlineStr">
        <is>
          <t>Entrada</t>
        </is>
      </c>
      <c r="D5" t="inlineStr">
        <is>
          <t>Cliente recorrente</t>
        </is>
      </c>
      <c r="E5" s="17" t="n">
        <v>890</v>
      </c>
      <c r="G5" t="inlineStr">
        <is>
          <t>Entradas</t>
        </is>
      </c>
      <c r="H5" s="19">
        <f>SUMIF($C$5:$C$400,"Entrada",$E$5:$E$400)</f>
        <v/>
      </c>
    </row>
    <row r="6">
      <c r="A6" s="16" t="n">
        <v>46301</v>
      </c>
      <c r="B6" t="inlineStr">
        <is>
          <t>Assinatura ferramenta de IA (exemplo)</t>
        </is>
      </c>
      <c r="C6" t="inlineStr">
        <is>
          <t>Saída</t>
        </is>
      </c>
      <c r="D6" t="inlineStr">
        <is>
          <t>Ferramentas</t>
        </is>
      </c>
      <c r="E6" s="17" t="n">
        <v>100</v>
      </c>
      <c r="G6" t="inlineStr">
        <is>
          <t>Saídas</t>
        </is>
      </c>
      <c r="H6" s="19">
        <f>SUMIF($C$5:$C$400,"Saída",$E$5:$E$400)</f>
        <v/>
      </c>
    </row>
    <row r="7">
      <c r="A7" s="16" t="n"/>
      <c r="E7" s="17" t="n"/>
      <c r="G7" s="2" t="inlineStr">
        <is>
          <t>Saldo</t>
        </is>
      </c>
      <c r="H7" s="19">
        <f>H5-H6</f>
        <v/>
      </c>
    </row>
    <row r="8">
      <c r="A8" s="16" t="n"/>
      <c r="E8" s="17" t="n"/>
    </row>
    <row r="9">
      <c r="A9" s="16" t="n"/>
      <c r="E9" s="17" t="n"/>
      <c r="G9" s="15" t="inlineStr">
        <is>
          <t>Por categoria</t>
        </is>
      </c>
      <c r="H9" s="15" t="inlineStr">
        <is>
          <t>Valor</t>
        </is>
      </c>
    </row>
    <row r="10">
      <c r="A10" s="16" t="n"/>
      <c r="E10" s="17" t="n"/>
      <c r="G10" t="inlineStr">
        <is>
          <t>Cliente recorrente</t>
        </is>
      </c>
      <c r="H10" s="19">
        <f>SUMIF($D$5:$D$400,G10,$E$5:$E$400)</f>
        <v/>
      </c>
    </row>
    <row r="11">
      <c r="A11" s="16" t="n"/>
      <c r="E11" s="17" t="n"/>
      <c r="G11" t="inlineStr">
        <is>
          <t>Projeto pontual</t>
        </is>
      </c>
      <c r="H11" s="19">
        <f>SUMIF($D$5:$D$400,G11,$E$5:$E$400)</f>
        <v/>
      </c>
    </row>
    <row r="12">
      <c r="A12" s="16" t="n"/>
      <c r="E12" s="17" t="n"/>
      <c r="G12" t="inlineStr">
        <is>
          <t>Ferramentas</t>
        </is>
      </c>
      <c r="H12" s="19">
        <f>SUMIF($D$5:$D$400,G12,$E$5:$E$400)</f>
        <v/>
      </c>
    </row>
    <row r="13">
      <c r="A13" s="16" t="n"/>
      <c r="E13" s="17" t="n"/>
      <c r="G13" t="inlineStr">
        <is>
          <t>Impostos</t>
        </is>
      </c>
      <c r="H13" s="19">
        <f>SUMIF($D$5:$D$400,G13,$E$5:$E$400)</f>
        <v/>
      </c>
    </row>
    <row r="14">
      <c r="A14" s="16" t="n"/>
      <c r="E14" s="17" t="n"/>
      <c r="G14" t="inlineStr">
        <is>
          <t>Marketing</t>
        </is>
      </c>
      <c r="H14" s="19">
        <f>SUMIF($D$5:$D$400,G14,$E$5:$E$400)</f>
        <v/>
      </c>
    </row>
    <row r="15">
      <c r="A15" s="16" t="n"/>
      <c r="E15" s="17" t="n"/>
      <c r="G15" t="inlineStr">
        <is>
          <t>Equipamento</t>
        </is>
      </c>
      <c r="H15" s="19">
        <f>SUMIF($D$5:$D$400,G15,$E$5:$E$400)</f>
        <v/>
      </c>
    </row>
    <row r="16">
      <c r="A16" s="16" t="n"/>
      <c r="E16" s="17" t="n"/>
      <c r="G16" t="inlineStr">
        <is>
          <t>Pró-labore</t>
        </is>
      </c>
      <c r="H16" s="19">
        <f>SUMIF($D$5:$D$400,G16,$E$5:$E$400)</f>
        <v/>
      </c>
    </row>
    <row r="17">
      <c r="A17" s="16" t="n"/>
      <c r="E17" s="17" t="n"/>
      <c r="G17" t="inlineStr">
        <is>
          <t>Outros</t>
        </is>
      </c>
      <c r="H17" s="19">
        <f>SUMIF($D$5:$D$400,G17,$E$5:$E$400)</f>
        <v/>
      </c>
    </row>
    <row r="18">
      <c r="A18" s="16" t="n"/>
      <c r="E18" s="17" t="n"/>
    </row>
    <row r="19">
      <c r="A19" s="16" t="n"/>
      <c r="E19" s="17" t="n"/>
    </row>
    <row r="20">
      <c r="A20" s="16" t="n"/>
      <c r="E20" s="17" t="n"/>
    </row>
    <row r="21">
      <c r="A21" s="16" t="n"/>
      <c r="E21" s="17" t="n"/>
    </row>
    <row r="22">
      <c r="A22" s="16" t="n"/>
      <c r="E22" s="17" t="n"/>
    </row>
    <row r="23">
      <c r="A23" s="16" t="n"/>
      <c r="E23" s="17" t="n"/>
    </row>
    <row r="24">
      <c r="A24" s="16" t="n"/>
      <c r="E24" s="17" t="n"/>
    </row>
    <row r="25">
      <c r="A25" s="16" t="n"/>
      <c r="E25" s="17" t="n"/>
    </row>
    <row r="26">
      <c r="A26" s="16" t="n"/>
      <c r="E26" s="17" t="n"/>
    </row>
    <row r="27">
      <c r="A27" s="16" t="n"/>
      <c r="E27" s="17" t="n"/>
    </row>
    <row r="28">
      <c r="A28" s="16" t="n"/>
      <c r="E28" s="17" t="n"/>
    </row>
    <row r="29">
      <c r="A29" s="16" t="n"/>
      <c r="E29" s="17" t="n"/>
    </row>
    <row r="30">
      <c r="A30" s="16" t="n"/>
      <c r="E30" s="17" t="n"/>
    </row>
    <row r="31">
      <c r="A31" s="16" t="n"/>
      <c r="E31" s="17" t="n"/>
    </row>
    <row r="32">
      <c r="A32" s="16" t="n"/>
      <c r="E32" s="17" t="n"/>
    </row>
    <row r="33">
      <c r="A33" s="16" t="n"/>
      <c r="E33" s="17" t="n"/>
    </row>
    <row r="34">
      <c r="A34" s="16" t="n"/>
      <c r="E34" s="17" t="n"/>
    </row>
    <row r="35">
      <c r="A35" s="16" t="n"/>
      <c r="E35" s="17" t="n"/>
    </row>
    <row r="36">
      <c r="A36" s="16" t="n"/>
      <c r="E36" s="17" t="n"/>
    </row>
    <row r="37">
      <c r="A37" s="16" t="n"/>
      <c r="E37" s="17" t="n"/>
    </row>
    <row r="38">
      <c r="A38" s="16" t="n"/>
      <c r="E38" s="17" t="n"/>
    </row>
    <row r="39">
      <c r="A39" s="16" t="n"/>
      <c r="E39" s="17" t="n"/>
    </row>
    <row r="40">
      <c r="A40" s="16" t="n"/>
      <c r="E40" s="17" t="n"/>
    </row>
    <row r="41">
      <c r="A41" s="16" t="n"/>
      <c r="E41" s="17" t="n"/>
    </row>
    <row r="42">
      <c r="A42" s="16" t="n"/>
      <c r="E42" s="17" t="n"/>
    </row>
    <row r="43">
      <c r="A43" s="16" t="n"/>
      <c r="E43" s="17" t="n"/>
    </row>
    <row r="44">
      <c r="A44" s="16" t="n"/>
      <c r="E44" s="17" t="n"/>
    </row>
    <row r="45">
      <c r="A45" s="16" t="n"/>
      <c r="E45" s="17" t="n"/>
    </row>
    <row r="46">
      <c r="A46" s="16" t="n"/>
      <c r="E46" s="17" t="n"/>
    </row>
    <row r="47">
      <c r="A47" s="16" t="n"/>
      <c r="E47" s="17" t="n"/>
    </row>
    <row r="48">
      <c r="A48" s="16" t="n"/>
      <c r="E48" s="17" t="n"/>
    </row>
    <row r="49">
      <c r="A49" s="16" t="n"/>
      <c r="E49" s="17" t="n"/>
    </row>
    <row r="50">
      <c r="A50" s="16" t="n"/>
      <c r="E50" s="17" t="n"/>
    </row>
    <row r="51">
      <c r="A51" s="16" t="n"/>
      <c r="E51" s="17" t="n"/>
    </row>
    <row r="52">
      <c r="A52" s="16" t="n"/>
      <c r="E52" s="17" t="n"/>
    </row>
    <row r="53">
      <c r="A53" s="16" t="n"/>
      <c r="E53" s="17" t="n"/>
    </row>
    <row r="54">
      <c r="A54" s="16" t="n"/>
      <c r="E54" s="17" t="n"/>
    </row>
    <row r="55">
      <c r="A55" s="16" t="n"/>
      <c r="E55" s="17" t="n"/>
    </row>
    <row r="56">
      <c r="A56" s="16" t="n"/>
      <c r="E56" s="17" t="n"/>
    </row>
    <row r="57">
      <c r="A57" s="16" t="n"/>
      <c r="E57" s="17" t="n"/>
    </row>
    <row r="58">
      <c r="A58" s="16" t="n"/>
      <c r="E58" s="17" t="n"/>
    </row>
    <row r="59">
      <c r="A59" s="16" t="n"/>
      <c r="E59" s="17" t="n"/>
    </row>
    <row r="60">
      <c r="A60" s="16" t="n"/>
      <c r="E60" s="17" t="n"/>
    </row>
    <row r="61">
      <c r="A61" s="16" t="n"/>
      <c r="E61" s="17" t="n"/>
    </row>
    <row r="62">
      <c r="A62" s="16" t="n"/>
      <c r="E62" s="17" t="n"/>
    </row>
    <row r="63">
      <c r="A63" s="16" t="n"/>
      <c r="E63" s="17" t="n"/>
    </row>
    <row r="64">
      <c r="A64" s="16" t="n"/>
      <c r="E64" s="17" t="n"/>
    </row>
    <row r="65">
      <c r="A65" s="16" t="n"/>
      <c r="E65" s="17" t="n"/>
    </row>
    <row r="66">
      <c r="A66" s="16" t="n"/>
      <c r="E66" s="17" t="n"/>
    </row>
    <row r="67">
      <c r="A67" s="16" t="n"/>
      <c r="E67" s="17" t="n"/>
    </row>
    <row r="68">
      <c r="A68" s="16" t="n"/>
      <c r="E68" s="17" t="n"/>
    </row>
    <row r="69">
      <c r="A69" s="16" t="n"/>
      <c r="E69" s="17" t="n"/>
    </row>
    <row r="70">
      <c r="A70" s="16" t="n"/>
      <c r="E70" s="17" t="n"/>
    </row>
    <row r="71">
      <c r="A71" s="16" t="n"/>
      <c r="E71" s="17" t="n"/>
    </row>
    <row r="72">
      <c r="A72" s="16" t="n"/>
      <c r="E72" s="17" t="n"/>
    </row>
    <row r="73">
      <c r="A73" s="16" t="n"/>
      <c r="E73" s="17" t="n"/>
    </row>
    <row r="74">
      <c r="A74" s="16" t="n"/>
      <c r="E74" s="17" t="n"/>
    </row>
    <row r="75">
      <c r="A75" s="16" t="n"/>
      <c r="E75" s="17" t="n"/>
    </row>
    <row r="76">
      <c r="A76" s="16" t="n"/>
      <c r="E76" s="17" t="n"/>
    </row>
    <row r="77">
      <c r="A77" s="16" t="n"/>
      <c r="E77" s="17" t="n"/>
    </row>
    <row r="78">
      <c r="A78" s="16" t="n"/>
      <c r="E78" s="17" t="n"/>
    </row>
    <row r="79">
      <c r="A79" s="16" t="n"/>
      <c r="E79" s="17" t="n"/>
    </row>
    <row r="80">
      <c r="A80" s="16" t="n"/>
      <c r="E80" s="17" t="n"/>
    </row>
    <row r="81">
      <c r="A81" s="16" t="n"/>
      <c r="E81" s="17" t="n"/>
    </row>
    <row r="82">
      <c r="A82" s="16" t="n"/>
      <c r="E82" s="17" t="n"/>
    </row>
    <row r="83">
      <c r="A83" s="16" t="n"/>
      <c r="E83" s="17" t="n"/>
    </row>
    <row r="84">
      <c r="A84" s="16" t="n"/>
      <c r="E84" s="17" t="n"/>
    </row>
    <row r="85">
      <c r="A85" s="16" t="n"/>
      <c r="E85" s="17" t="n"/>
    </row>
    <row r="86">
      <c r="A86" s="16" t="n"/>
      <c r="E86" s="17" t="n"/>
    </row>
    <row r="87">
      <c r="A87" s="16" t="n"/>
      <c r="E87" s="17" t="n"/>
    </row>
    <row r="88">
      <c r="A88" s="16" t="n"/>
      <c r="E88" s="17" t="n"/>
    </row>
    <row r="89">
      <c r="A89" s="16" t="n"/>
      <c r="E89" s="17" t="n"/>
    </row>
    <row r="90">
      <c r="A90" s="16" t="n"/>
      <c r="E90" s="17" t="n"/>
    </row>
    <row r="91">
      <c r="A91" s="16" t="n"/>
      <c r="E91" s="17" t="n"/>
    </row>
    <row r="92">
      <c r="A92" s="16" t="n"/>
      <c r="E92" s="17" t="n"/>
    </row>
    <row r="93">
      <c r="A93" s="16" t="n"/>
      <c r="E93" s="17" t="n"/>
    </row>
    <row r="94">
      <c r="A94" s="16" t="n"/>
      <c r="E94" s="17" t="n"/>
    </row>
    <row r="95">
      <c r="A95" s="16" t="n"/>
      <c r="E95" s="17" t="n"/>
    </row>
    <row r="96">
      <c r="A96" s="16" t="n"/>
      <c r="E96" s="17" t="n"/>
    </row>
    <row r="97">
      <c r="A97" s="16" t="n"/>
      <c r="E97" s="17" t="n"/>
    </row>
    <row r="98">
      <c r="A98" s="16" t="n"/>
      <c r="E98" s="17" t="n"/>
    </row>
    <row r="99">
      <c r="A99" s="16" t="n"/>
      <c r="E99" s="17" t="n"/>
    </row>
    <row r="100">
      <c r="A100" s="16" t="n"/>
      <c r="E100" s="17" t="n"/>
    </row>
    <row r="101">
      <c r="A101" s="16" t="n"/>
      <c r="E101" s="17" t="n"/>
    </row>
    <row r="102">
      <c r="A102" s="16" t="n"/>
      <c r="E102" s="17" t="n"/>
    </row>
    <row r="103">
      <c r="A103" s="16" t="n"/>
      <c r="E103" s="17" t="n"/>
    </row>
    <row r="104">
      <c r="A104" s="16" t="n"/>
      <c r="E104" s="17" t="n"/>
    </row>
    <row r="105">
      <c r="A105" s="16" t="n"/>
      <c r="E105" s="17" t="n"/>
    </row>
    <row r="106">
      <c r="A106" s="16" t="n"/>
      <c r="E106" s="17" t="n"/>
    </row>
    <row r="107">
      <c r="A107" s="16" t="n"/>
      <c r="E107" s="17" t="n"/>
    </row>
    <row r="108">
      <c r="A108" s="16" t="n"/>
      <c r="E108" s="17" t="n"/>
    </row>
    <row r="109">
      <c r="A109" s="16" t="n"/>
      <c r="E109" s="17" t="n"/>
    </row>
    <row r="110">
      <c r="A110" s="16" t="n"/>
      <c r="E110" s="17" t="n"/>
    </row>
    <row r="111">
      <c r="A111" s="16" t="n"/>
      <c r="E111" s="17" t="n"/>
    </row>
    <row r="112">
      <c r="A112" s="16" t="n"/>
      <c r="E112" s="17" t="n"/>
    </row>
    <row r="113">
      <c r="A113" s="16" t="n"/>
      <c r="E113" s="17" t="n"/>
    </row>
    <row r="114">
      <c r="A114" s="16" t="n"/>
      <c r="E114" s="17" t="n"/>
    </row>
    <row r="115">
      <c r="A115" s="16" t="n"/>
      <c r="E115" s="17" t="n"/>
    </row>
    <row r="116">
      <c r="A116" s="16" t="n"/>
      <c r="E116" s="17" t="n"/>
    </row>
    <row r="117">
      <c r="A117" s="16" t="n"/>
      <c r="E117" s="17" t="n"/>
    </row>
    <row r="118">
      <c r="A118" s="16" t="n"/>
      <c r="E118" s="17" t="n"/>
    </row>
    <row r="119">
      <c r="A119" s="16" t="n"/>
      <c r="E119" s="17" t="n"/>
    </row>
    <row r="120">
      <c r="A120" s="16" t="n"/>
      <c r="E120" s="17" t="n"/>
    </row>
    <row r="121">
      <c r="A121" s="16" t="n"/>
      <c r="E121" s="17" t="n"/>
    </row>
    <row r="122">
      <c r="A122" s="16" t="n"/>
      <c r="E122" s="17" t="n"/>
    </row>
    <row r="123">
      <c r="A123" s="16" t="n"/>
      <c r="E123" s="17" t="n"/>
    </row>
    <row r="124">
      <c r="A124" s="16" t="n"/>
      <c r="E124" s="17" t="n"/>
    </row>
    <row r="125">
      <c r="A125" s="16" t="n"/>
      <c r="E125" s="17" t="n"/>
    </row>
    <row r="126">
      <c r="A126" s="16" t="n"/>
      <c r="E126" s="17" t="n"/>
    </row>
    <row r="127">
      <c r="A127" s="16" t="n"/>
      <c r="E127" s="17" t="n"/>
    </row>
    <row r="128">
      <c r="A128" s="16" t="n"/>
      <c r="E128" s="17" t="n"/>
    </row>
    <row r="129">
      <c r="A129" s="16" t="n"/>
      <c r="E129" s="17" t="n"/>
    </row>
    <row r="130">
      <c r="A130" s="16" t="n"/>
      <c r="E130" s="17" t="n"/>
    </row>
    <row r="131">
      <c r="A131" s="16" t="n"/>
      <c r="E131" s="17" t="n"/>
    </row>
    <row r="132">
      <c r="A132" s="16" t="n"/>
      <c r="E132" s="17" t="n"/>
    </row>
    <row r="133">
      <c r="A133" s="16" t="n"/>
      <c r="E133" s="17" t="n"/>
    </row>
    <row r="134">
      <c r="A134" s="16" t="n"/>
      <c r="E134" s="17" t="n"/>
    </row>
    <row r="135">
      <c r="A135" s="16" t="n"/>
      <c r="E135" s="17" t="n"/>
    </row>
    <row r="136">
      <c r="A136" s="16" t="n"/>
      <c r="E136" s="17" t="n"/>
    </row>
    <row r="137">
      <c r="A137" s="16" t="n"/>
      <c r="E137" s="17" t="n"/>
    </row>
    <row r="138">
      <c r="A138" s="16" t="n"/>
      <c r="E138" s="17" t="n"/>
    </row>
    <row r="139">
      <c r="A139" s="16" t="n"/>
      <c r="E139" s="17" t="n"/>
    </row>
    <row r="140">
      <c r="A140" s="16" t="n"/>
      <c r="E140" s="17" t="n"/>
    </row>
    <row r="141">
      <c r="A141" s="16" t="n"/>
      <c r="E141" s="17" t="n"/>
    </row>
    <row r="142">
      <c r="A142" s="16" t="n"/>
      <c r="E142" s="17" t="n"/>
    </row>
    <row r="143">
      <c r="A143" s="16" t="n"/>
      <c r="E143" s="17" t="n"/>
    </row>
    <row r="144">
      <c r="A144" s="16" t="n"/>
      <c r="E144" s="17" t="n"/>
    </row>
    <row r="145">
      <c r="A145" s="16" t="n"/>
      <c r="E145" s="17" t="n"/>
    </row>
    <row r="146">
      <c r="A146" s="16" t="n"/>
      <c r="E146" s="17" t="n"/>
    </row>
    <row r="147">
      <c r="A147" s="16" t="n"/>
      <c r="E147" s="17" t="n"/>
    </row>
    <row r="148">
      <c r="A148" s="16" t="n"/>
      <c r="E148" s="17" t="n"/>
    </row>
    <row r="149">
      <c r="A149" s="16" t="n"/>
      <c r="E149" s="17" t="n"/>
    </row>
    <row r="150">
      <c r="A150" s="16" t="n"/>
      <c r="E150" s="17" t="n"/>
    </row>
    <row r="151">
      <c r="A151" s="16" t="n"/>
      <c r="E151" s="17" t="n"/>
    </row>
    <row r="152">
      <c r="A152" s="16" t="n"/>
      <c r="E152" s="17" t="n"/>
    </row>
    <row r="153">
      <c r="A153" s="16" t="n"/>
      <c r="E153" s="17" t="n"/>
    </row>
    <row r="154">
      <c r="A154" s="16" t="n"/>
      <c r="E154" s="17" t="n"/>
    </row>
    <row r="155">
      <c r="A155" s="16" t="n"/>
      <c r="E155" s="17" t="n"/>
    </row>
    <row r="156">
      <c r="A156" s="16" t="n"/>
      <c r="E156" s="17" t="n"/>
    </row>
    <row r="157">
      <c r="A157" s="16" t="n"/>
      <c r="E157" s="17" t="n"/>
    </row>
    <row r="158">
      <c r="A158" s="16" t="n"/>
      <c r="E158" s="17" t="n"/>
    </row>
    <row r="159">
      <c r="A159" s="16" t="n"/>
      <c r="E159" s="17" t="n"/>
    </row>
    <row r="160">
      <c r="A160" s="16" t="n"/>
      <c r="E160" s="17" t="n"/>
    </row>
    <row r="161">
      <c r="A161" s="16" t="n"/>
      <c r="E161" s="17" t="n"/>
    </row>
    <row r="162">
      <c r="A162" s="16" t="n"/>
      <c r="E162" s="17" t="n"/>
    </row>
    <row r="163">
      <c r="A163" s="16" t="n"/>
      <c r="E163" s="17" t="n"/>
    </row>
    <row r="164">
      <c r="A164" s="16" t="n"/>
      <c r="E164" s="17" t="n"/>
    </row>
    <row r="165">
      <c r="A165" s="16" t="n"/>
      <c r="E165" s="17" t="n"/>
    </row>
    <row r="166">
      <c r="A166" s="16" t="n"/>
      <c r="E166" s="17" t="n"/>
    </row>
    <row r="167">
      <c r="A167" s="16" t="n"/>
      <c r="E167" s="17" t="n"/>
    </row>
    <row r="168">
      <c r="A168" s="16" t="n"/>
      <c r="E168" s="17" t="n"/>
    </row>
    <row r="169">
      <c r="A169" s="16" t="n"/>
      <c r="E169" s="17" t="n"/>
    </row>
    <row r="170">
      <c r="A170" s="16" t="n"/>
      <c r="E170" s="17" t="n"/>
    </row>
    <row r="171">
      <c r="A171" s="16" t="n"/>
      <c r="E171" s="17" t="n"/>
    </row>
    <row r="172">
      <c r="A172" s="16" t="n"/>
      <c r="E172" s="17" t="n"/>
    </row>
    <row r="173">
      <c r="A173" s="16" t="n"/>
      <c r="E173" s="17" t="n"/>
    </row>
    <row r="174">
      <c r="A174" s="16" t="n"/>
      <c r="E174" s="17" t="n"/>
    </row>
    <row r="175">
      <c r="A175" s="16" t="n"/>
      <c r="E175" s="17" t="n"/>
    </row>
    <row r="176">
      <c r="A176" s="16" t="n"/>
      <c r="E176" s="17" t="n"/>
    </row>
    <row r="177">
      <c r="A177" s="16" t="n"/>
      <c r="E177" s="17" t="n"/>
    </row>
    <row r="178">
      <c r="A178" s="16" t="n"/>
      <c r="E178" s="17" t="n"/>
    </row>
    <row r="179">
      <c r="A179" s="16" t="n"/>
      <c r="E179" s="17" t="n"/>
    </row>
    <row r="180">
      <c r="A180" s="16" t="n"/>
      <c r="E180" s="17" t="n"/>
    </row>
    <row r="181">
      <c r="A181" s="16" t="n"/>
      <c r="E181" s="17" t="n"/>
    </row>
    <row r="182">
      <c r="A182" s="16" t="n"/>
      <c r="E182" s="17" t="n"/>
    </row>
    <row r="183">
      <c r="A183" s="16" t="n"/>
      <c r="E183" s="17" t="n"/>
    </row>
    <row r="184">
      <c r="A184" s="16" t="n"/>
      <c r="E184" s="17" t="n"/>
    </row>
    <row r="185">
      <c r="A185" s="16" t="n"/>
      <c r="E185" s="17" t="n"/>
    </row>
    <row r="186">
      <c r="A186" s="16" t="n"/>
      <c r="E186" s="17" t="n"/>
    </row>
    <row r="187">
      <c r="A187" s="16" t="n"/>
      <c r="E187" s="17" t="n"/>
    </row>
    <row r="188">
      <c r="A188" s="16" t="n"/>
      <c r="E188" s="17" t="n"/>
    </row>
    <row r="189">
      <c r="A189" s="16" t="n"/>
      <c r="E189" s="17" t="n"/>
    </row>
    <row r="190">
      <c r="A190" s="16" t="n"/>
      <c r="E190" s="17" t="n"/>
    </row>
    <row r="191">
      <c r="A191" s="16" t="n"/>
      <c r="E191" s="17" t="n"/>
    </row>
    <row r="192">
      <c r="A192" s="16" t="n"/>
      <c r="E192" s="17" t="n"/>
    </row>
    <row r="193">
      <c r="A193" s="16" t="n"/>
      <c r="E193" s="17" t="n"/>
    </row>
    <row r="194">
      <c r="A194" s="16" t="n"/>
      <c r="E194" s="17" t="n"/>
    </row>
    <row r="195">
      <c r="A195" s="16" t="n"/>
      <c r="E195" s="17" t="n"/>
    </row>
    <row r="196">
      <c r="A196" s="16" t="n"/>
      <c r="E196" s="17" t="n"/>
    </row>
    <row r="197">
      <c r="A197" s="16" t="n"/>
      <c r="E197" s="17" t="n"/>
    </row>
    <row r="198">
      <c r="A198" s="16" t="n"/>
      <c r="E198" s="17" t="n"/>
    </row>
    <row r="199">
      <c r="A199" s="16" t="n"/>
      <c r="E199" s="17" t="n"/>
    </row>
    <row r="200">
      <c r="A200" s="16" t="n"/>
      <c r="E200" s="17" t="n"/>
    </row>
    <row r="201">
      <c r="A201" s="16" t="n"/>
      <c r="E201" s="17" t="n"/>
    </row>
    <row r="202">
      <c r="A202" s="16" t="n"/>
      <c r="E202" s="17" t="n"/>
    </row>
    <row r="203">
      <c r="A203" s="16" t="n"/>
      <c r="E203" s="17" t="n"/>
    </row>
    <row r="204">
      <c r="A204" s="16" t="n"/>
      <c r="E204" s="17" t="n"/>
    </row>
    <row r="205">
      <c r="A205" s="16" t="n"/>
      <c r="E205" s="17" t="n"/>
    </row>
    <row r="206">
      <c r="A206" s="16" t="n"/>
      <c r="E206" s="17" t="n"/>
    </row>
    <row r="207">
      <c r="A207" s="16" t="n"/>
      <c r="E207" s="17" t="n"/>
    </row>
    <row r="208">
      <c r="A208" s="16" t="n"/>
      <c r="E208" s="17" t="n"/>
    </row>
    <row r="209">
      <c r="A209" s="16" t="n"/>
      <c r="E209" s="17" t="n"/>
    </row>
    <row r="210">
      <c r="A210" s="16" t="n"/>
      <c r="E210" s="17" t="n"/>
    </row>
    <row r="211">
      <c r="A211" s="16" t="n"/>
      <c r="E211" s="17" t="n"/>
    </row>
    <row r="212">
      <c r="A212" s="16" t="n"/>
      <c r="E212" s="17" t="n"/>
    </row>
    <row r="213">
      <c r="A213" s="16" t="n"/>
      <c r="E213" s="17" t="n"/>
    </row>
    <row r="214">
      <c r="A214" s="16" t="n"/>
      <c r="E214" s="17" t="n"/>
    </row>
    <row r="215">
      <c r="A215" s="16" t="n"/>
      <c r="E215" s="17" t="n"/>
    </row>
    <row r="216">
      <c r="A216" s="16" t="n"/>
      <c r="E216" s="17" t="n"/>
    </row>
    <row r="217">
      <c r="A217" s="16" t="n"/>
      <c r="E217" s="17" t="n"/>
    </row>
    <row r="218">
      <c r="A218" s="16" t="n"/>
      <c r="E218" s="17" t="n"/>
    </row>
    <row r="219">
      <c r="A219" s="16" t="n"/>
      <c r="E219" s="17" t="n"/>
    </row>
    <row r="220">
      <c r="A220" s="16" t="n"/>
      <c r="E220" s="17" t="n"/>
    </row>
    <row r="221">
      <c r="A221" s="16" t="n"/>
      <c r="E221" s="17" t="n"/>
    </row>
    <row r="222">
      <c r="A222" s="16" t="n"/>
      <c r="E222" s="17" t="n"/>
    </row>
    <row r="223">
      <c r="A223" s="16" t="n"/>
      <c r="E223" s="17" t="n"/>
    </row>
    <row r="224">
      <c r="A224" s="16" t="n"/>
      <c r="E224" s="17" t="n"/>
    </row>
    <row r="225">
      <c r="A225" s="16" t="n"/>
      <c r="E225" s="17" t="n"/>
    </row>
    <row r="226">
      <c r="A226" s="16" t="n"/>
      <c r="E226" s="17" t="n"/>
    </row>
    <row r="227">
      <c r="A227" s="16" t="n"/>
      <c r="E227" s="17" t="n"/>
    </row>
    <row r="228">
      <c r="A228" s="16" t="n"/>
      <c r="E228" s="17" t="n"/>
    </row>
    <row r="229">
      <c r="A229" s="16" t="n"/>
      <c r="E229" s="17" t="n"/>
    </row>
    <row r="230">
      <c r="A230" s="16" t="n"/>
      <c r="E230" s="17" t="n"/>
    </row>
    <row r="231">
      <c r="A231" s="16" t="n"/>
      <c r="E231" s="17" t="n"/>
    </row>
    <row r="232">
      <c r="A232" s="16" t="n"/>
      <c r="E232" s="17" t="n"/>
    </row>
    <row r="233">
      <c r="A233" s="16" t="n"/>
      <c r="E233" s="17" t="n"/>
    </row>
    <row r="234">
      <c r="A234" s="16" t="n"/>
      <c r="E234" s="17" t="n"/>
    </row>
    <row r="235">
      <c r="A235" s="16" t="n"/>
      <c r="E235" s="17" t="n"/>
    </row>
    <row r="236">
      <c r="A236" s="16" t="n"/>
      <c r="E236" s="17" t="n"/>
    </row>
    <row r="237">
      <c r="A237" s="16" t="n"/>
      <c r="E237" s="17" t="n"/>
    </row>
    <row r="238">
      <c r="A238" s="16" t="n"/>
      <c r="E238" s="17" t="n"/>
    </row>
    <row r="239">
      <c r="A239" s="16" t="n"/>
      <c r="E239" s="17" t="n"/>
    </row>
    <row r="240">
      <c r="A240" s="16" t="n"/>
      <c r="E240" s="17" t="n"/>
    </row>
    <row r="241">
      <c r="A241" s="16" t="n"/>
      <c r="E241" s="17" t="n"/>
    </row>
    <row r="242">
      <c r="A242" s="16" t="n"/>
      <c r="E242" s="17" t="n"/>
    </row>
    <row r="243">
      <c r="A243" s="16" t="n"/>
      <c r="E243" s="17" t="n"/>
    </row>
    <row r="244">
      <c r="A244" s="16" t="n"/>
      <c r="E244" s="17" t="n"/>
    </row>
    <row r="245">
      <c r="A245" s="16" t="n"/>
      <c r="E245" s="17" t="n"/>
    </row>
    <row r="246">
      <c r="A246" s="16" t="n"/>
      <c r="E246" s="17" t="n"/>
    </row>
    <row r="247">
      <c r="A247" s="16" t="n"/>
      <c r="E247" s="17" t="n"/>
    </row>
    <row r="248">
      <c r="A248" s="16" t="n"/>
      <c r="E248" s="17" t="n"/>
    </row>
    <row r="249">
      <c r="A249" s="16" t="n"/>
      <c r="E249" s="17" t="n"/>
    </row>
    <row r="250">
      <c r="A250" s="16" t="n"/>
      <c r="E250" s="17" t="n"/>
    </row>
    <row r="251">
      <c r="A251" s="16" t="n"/>
      <c r="E251" s="17" t="n"/>
    </row>
    <row r="252">
      <c r="A252" s="16" t="n"/>
      <c r="E252" s="17" t="n"/>
    </row>
    <row r="253">
      <c r="A253" s="16" t="n"/>
      <c r="E253" s="17" t="n"/>
    </row>
    <row r="254">
      <c r="A254" s="16" t="n"/>
      <c r="E254" s="17" t="n"/>
    </row>
    <row r="255">
      <c r="A255" s="16" t="n"/>
      <c r="E255" s="17" t="n"/>
    </row>
    <row r="256">
      <c r="A256" s="16" t="n"/>
      <c r="E256" s="17" t="n"/>
    </row>
    <row r="257">
      <c r="A257" s="16" t="n"/>
      <c r="E257" s="17" t="n"/>
    </row>
    <row r="258">
      <c r="A258" s="16" t="n"/>
      <c r="E258" s="17" t="n"/>
    </row>
    <row r="259">
      <c r="A259" s="16" t="n"/>
      <c r="E259" s="17" t="n"/>
    </row>
    <row r="260">
      <c r="A260" s="16" t="n"/>
      <c r="E260" s="17" t="n"/>
    </row>
    <row r="261">
      <c r="A261" s="16" t="n"/>
      <c r="E261" s="17" t="n"/>
    </row>
    <row r="262">
      <c r="A262" s="16" t="n"/>
      <c r="E262" s="17" t="n"/>
    </row>
    <row r="263">
      <c r="A263" s="16" t="n"/>
      <c r="E263" s="17" t="n"/>
    </row>
    <row r="264">
      <c r="A264" s="16" t="n"/>
      <c r="E264" s="17" t="n"/>
    </row>
    <row r="265">
      <c r="A265" s="16" t="n"/>
      <c r="E265" s="17" t="n"/>
    </row>
    <row r="266">
      <c r="A266" s="16" t="n"/>
      <c r="E266" s="17" t="n"/>
    </row>
    <row r="267">
      <c r="A267" s="16" t="n"/>
      <c r="E267" s="17" t="n"/>
    </row>
    <row r="268">
      <c r="A268" s="16" t="n"/>
      <c r="E268" s="17" t="n"/>
    </row>
    <row r="269">
      <c r="A269" s="16" t="n"/>
      <c r="E269" s="17" t="n"/>
    </row>
    <row r="270">
      <c r="A270" s="16" t="n"/>
      <c r="E270" s="17" t="n"/>
    </row>
    <row r="271">
      <c r="A271" s="16" t="n"/>
      <c r="E271" s="17" t="n"/>
    </row>
    <row r="272">
      <c r="A272" s="16" t="n"/>
      <c r="E272" s="17" t="n"/>
    </row>
    <row r="273">
      <c r="A273" s="16" t="n"/>
      <c r="E273" s="17" t="n"/>
    </row>
    <row r="274">
      <c r="A274" s="16" t="n"/>
      <c r="E274" s="17" t="n"/>
    </row>
    <row r="275">
      <c r="A275" s="16" t="n"/>
      <c r="E275" s="17" t="n"/>
    </row>
    <row r="276">
      <c r="A276" s="16" t="n"/>
      <c r="E276" s="17" t="n"/>
    </row>
    <row r="277">
      <c r="A277" s="16" t="n"/>
      <c r="E277" s="17" t="n"/>
    </row>
    <row r="278">
      <c r="A278" s="16" t="n"/>
      <c r="E278" s="17" t="n"/>
    </row>
    <row r="279">
      <c r="A279" s="16" t="n"/>
      <c r="E279" s="17" t="n"/>
    </row>
    <row r="280">
      <c r="A280" s="16" t="n"/>
      <c r="E280" s="17" t="n"/>
    </row>
    <row r="281">
      <c r="A281" s="16" t="n"/>
      <c r="E281" s="17" t="n"/>
    </row>
    <row r="282">
      <c r="A282" s="16" t="n"/>
      <c r="E282" s="17" t="n"/>
    </row>
    <row r="283">
      <c r="A283" s="16" t="n"/>
      <c r="E283" s="17" t="n"/>
    </row>
    <row r="284">
      <c r="A284" s="16" t="n"/>
      <c r="E284" s="17" t="n"/>
    </row>
    <row r="285">
      <c r="A285" s="16" t="n"/>
      <c r="E285" s="17" t="n"/>
    </row>
    <row r="286">
      <c r="A286" s="16" t="n"/>
      <c r="E286" s="17" t="n"/>
    </row>
    <row r="287">
      <c r="A287" s="16" t="n"/>
      <c r="E287" s="17" t="n"/>
    </row>
    <row r="288">
      <c r="A288" s="16" t="n"/>
      <c r="E288" s="17" t="n"/>
    </row>
    <row r="289">
      <c r="A289" s="16" t="n"/>
      <c r="E289" s="17" t="n"/>
    </row>
    <row r="290">
      <c r="A290" s="16" t="n"/>
      <c r="E290" s="17" t="n"/>
    </row>
    <row r="291">
      <c r="A291" s="16" t="n"/>
      <c r="E291" s="17" t="n"/>
    </row>
    <row r="292">
      <c r="A292" s="16" t="n"/>
      <c r="E292" s="17" t="n"/>
    </row>
    <row r="293">
      <c r="A293" s="16" t="n"/>
      <c r="E293" s="17" t="n"/>
    </row>
    <row r="294">
      <c r="A294" s="16" t="n"/>
      <c r="E294" s="17" t="n"/>
    </row>
    <row r="295">
      <c r="A295" s="16" t="n"/>
      <c r="E295" s="17" t="n"/>
    </row>
    <row r="296">
      <c r="A296" s="16" t="n"/>
      <c r="E296" s="17" t="n"/>
    </row>
    <row r="297">
      <c r="A297" s="16" t="n"/>
      <c r="E297" s="17" t="n"/>
    </row>
    <row r="298">
      <c r="A298" s="16" t="n"/>
      <c r="E298" s="17" t="n"/>
    </row>
    <row r="299">
      <c r="A299" s="16" t="n"/>
      <c r="E299" s="17" t="n"/>
    </row>
    <row r="300">
      <c r="A300" s="16" t="n"/>
      <c r="E300" s="17" t="n"/>
    </row>
    <row r="301">
      <c r="A301" s="16" t="n"/>
      <c r="E301" s="17" t="n"/>
    </row>
    <row r="302">
      <c r="A302" s="16" t="n"/>
      <c r="E302" s="17" t="n"/>
    </row>
    <row r="303">
      <c r="A303" s="16" t="n"/>
      <c r="E303" s="17" t="n"/>
    </row>
    <row r="304">
      <c r="A304" s="16" t="n"/>
      <c r="E304" s="17" t="n"/>
    </row>
    <row r="305">
      <c r="A305" s="16" t="n"/>
      <c r="E305" s="17" t="n"/>
    </row>
    <row r="306">
      <c r="A306" s="16" t="n"/>
      <c r="E306" s="17" t="n"/>
    </row>
    <row r="307">
      <c r="A307" s="16" t="n"/>
      <c r="E307" s="17" t="n"/>
    </row>
    <row r="308">
      <c r="A308" s="16" t="n"/>
      <c r="E308" s="17" t="n"/>
    </row>
    <row r="309">
      <c r="A309" s="16" t="n"/>
      <c r="E309" s="17" t="n"/>
    </row>
    <row r="310">
      <c r="A310" s="16" t="n"/>
      <c r="E310" s="17" t="n"/>
    </row>
    <row r="311">
      <c r="A311" s="16" t="n"/>
      <c r="E311" s="17" t="n"/>
    </row>
    <row r="312">
      <c r="A312" s="16" t="n"/>
      <c r="E312" s="17" t="n"/>
    </row>
    <row r="313">
      <c r="A313" s="16" t="n"/>
      <c r="E313" s="17" t="n"/>
    </row>
    <row r="314">
      <c r="A314" s="16" t="n"/>
      <c r="E314" s="17" t="n"/>
    </row>
    <row r="315">
      <c r="A315" s="16" t="n"/>
      <c r="E315" s="17" t="n"/>
    </row>
    <row r="316">
      <c r="A316" s="16" t="n"/>
      <c r="E316" s="17" t="n"/>
    </row>
    <row r="317">
      <c r="A317" s="16" t="n"/>
      <c r="E317" s="17" t="n"/>
    </row>
    <row r="318">
      <c r="A318" s="16" t="n"/>
      <c r="E318" s="17" t="n"/>
    </row>
    <row r="319">
      <c r="A319" s="16" t="n"/>
      <c r="E319" s="17" t="n"/>
    </row>
    <row r="320">
      <c r="A320" s="16" t="n"/>
      <c r="E320" s="17" t="n"/>
    </row>
    <row r="321">
      <c r="A321" s="16" t="n"/>
      <c r="E321" s="17" t="n"/>
    </row>
    <row r="322">
      <c r="A322" s="16" t="n"/>
      <c r="E322" s="17" t="n"/>
    </row>
    <row r="323">
      <c r="A323" s="16" t="n"/>
      <c r="E323" s="17" t="n"/>
    </row>
    <row r="324">
      <c r="A324" s="16" t="n"/>
      <c r="E324" s="17" t="n"/>
    </row>
    <row r="325">
      <c r="A325" s="16" t="n"/>
      <c r="E325" s="17" t="n"/>
    </row>
    <row r="326">
      <c r="A326" s="16" t="n"/>
      <c r="E326" s="17" t="n"/>
    </row>
    <row r="327">
      <c r="A327" s="16" t="n"/>
      <c r="E327" s="17" t="n"/>
    </row>
    <row r="328">
      <c r="A328" s="16" t="n"/>
      <c r="E328" s="17" t="n"/>
    </row>
    <row r="329">
      <c r="A329" s="16" t="n"/>
      <c r="E329" s="17" t="n"/>
    </row>
    <row r="330">
      <c r="A330" s="16" t="n"/>
      <c r="E330" s="17" t="n"/>
    </row>
    <row r="331">
      <c r="A331" s="16" t="n"/>
      <c r="E331" s="17" t="n"/>
    </row>
    <row r="332">
      <c r="A332" s="16" t="n"/>
      <c r="E332" s="17" t="n"/>
    </row>
    <row r="333">
      <c r="A333" s="16" t="n"/>
      <c r="E333" s="17" t="n"/>
    </row>
    <row r="334">
      <c r="A334" s="16" t="n"/>
      <c r="E334" s="17" t="n"/>
    </row>
    <row r="335">
      <c r="A335" s="16" t="n"/>
      <c r="E335" s="17" t="n"/>
    </row>
    <row r="336">
      <c r="A336" s="16" t="n"/>
      <c r="E336" s="17" t="n"/>
    </row>
    <row r="337">
      <c r="A337" s="16" t="n"/>
      <c r="E337" s="17" t="n"/>
    </row>
    <row r="338">
      <c r="A338" s="16" t="n"/>
      <c r="E338" s="17" t="n"/>
    </row>
    <row r="339">
      <c r="A339" s="16" t="n"/>
      <c r="E339" s="17" t="n"/>
    </row>
    <row r="340">
      <c r="A340" s="16" t="n"/>
      <c r="E340" s="17" t="n"/>
    </row>
    <row r="341">
      <c r="A341" s="16" t="n"/>
      <c r="E341" s="17" t="n"/>
    </row>
    <row r="342">
      <c r="A342" s="16" t="n"/>
      <c r="E342" s="17" t="n"/>
    </row>
    <row r="343">
      <c r="A343" s="16" t="n"/>
      <c r="E343" s="17" t="n"/>
    </row>
    <row r="344">
      <c r="A344" s="16" t="n"/>
      <c r="E344" s="17" t="n"/>
    </row>
    <row r="345">
      <c r="A345" s="16" t="n"/>
      <c r="E345" s="17" t="n"/>
    </row>
    <row r="346">
      <c r="A346" s="16" t="n"/>
      <c r="E346" s="17" t="n"/>
    </row>
    <row r="347">
      <c r="A347" s="16" t="n"/>
      <c r="E347" s="17" t="n"/>
    </row>
    <row r="348">
      <c r="A348" s="16" t="n"/>
      <c r="E348" s="17" t="n"/>
    </row>
    <row r="349">
      <c r="A349" s="16" t="n"/>
      <c r="E349" s="17" t="n"/>
    </row>
    <row r="350">
      <c r="A350" s="16" t="n"/>
      <c r="E350" s="17" t="n"/>
    </row>
    <row r="351">
      <c r="A351" s="16" t="n"/>
      <c r="E351" s="17" t="n"/>
    </row>
    <row r="352">
      <c r="A352" s="16" t="n"/>
      <c r="E352" s="17" t="n"/>
    </row>
    <row r="353">
      <c r="A353" s="16" t="n"/>
      <c r="E353" s="17" t="n"/>
    </row>
    <row r="354">
      <c r="A354" s="16" t="n"/>
      <c r="E354" s="17" t="n"/>
    </row>
    <row r="355">
      <c r="A355" s="16" t="n"/>
      <c r="E355" s="17" t="n"/>
    </row>
    <row r="356">
      <c r="A356" s="16" t="n"/>
      <c r="E356" s="17" t="n"/>
    </row>
    <row r="357">
      <c r="A357" s="16" t="n"/>
      <c r="E357" s="17" t="n"/>
    </row>
    <row r="358">
      <c r="A358" s="16" t="n"/>
      <c r="E358" s="17" t="n"/>
    </row>
    <row r="359">
      <c r="A359" s="16" t="n"/>
      <c r="E359" s="17" t="n"/>
    </row>
    <row r="360">
      <c r="A360" s="16" t="n"/>
      <c r="E360" s="17" t="n"/>
    </row>
    <row r="361">
      <c r="A361" s="16" t="n"/>
      <c r="E361" s="17" t="n"/>
    </row>
    <row r="362">
      <c r="A362" s="16" t="n"/>
      <c r="E362" s="17" t="n"/>
    </row>
    <row r="363">
      <c r="A363" s="16" t="n"/>
      <c r="E363" s="17" t="n"/>
    </row>
    <row r="364">
      <c r="A364" s="16" t="n"/>
      <c r="E364" s="17" t="n"/>
    </row>
    <row r="365">
      <c r="A365" s="16" t="n"/>
      <c r="E365" s="17" t="n"/>
    </row>
    <row r="366">
      <c r="A366" s="16" t="n"/>
      <c r="E366" s="17" t="n"/>
    </row>
    <row r="367">
      <c r="A367" s="16" t="n"/>
      <c r="E367" s="17" t="n"/>
    </row>
    <row r="368">
      <c r="A368" s="16" t="n"/>
      <c r="E368" s="17" t="n"/>
    </row>
    <row r="369">
      <c r="A369" s="16" t="n"/>
      <c r="E369" s="17" t="n"/>
    </row>
    <row r="370">
      <c r="A370" s="16" t="n"/>
      <c r="E370" s="17" t="n"/>
    </row>
    <row r="371">
      <c r="A371" s="16" t="n"/>
      <c r="E371" s="17" t="n"/>
    </row>
    <row r="372">
      <c r="A372" s="16" t="n"/>
      <c r="E372" s="17" t="n"/>
    </row>
    <row r="373">
      <c r="A373" s="16" t="n"/>
      <c r="E373" s="17" t="n"/>
    </row>
    <row r="374">
      <c r="A374" s="16" t="n"/>
      <c r="E374" s="17" t="n"/>
    </row>
    <row r="375">
      <c r="A375" s="16" t="n"/>
      <c r="E375" s="17" t="n"/>
    </row>
    <row r="376">
      <c r="A376" s="16" t="n"/>
      <c r="E376" s="17" t="n"/>
    </row>
    <row r="377">
      <c r="A377" s="16" t="n"/>
      <c r="E377" s="17" t="n"/>
    </row>
    <row r="378">
      <c r="A378" s="16" t="n"/>
      <c r="E378" s="17" t="n"/>
    </row>
    <row r="379">
      <c r="A379" s="16" t="n"/>
      <c r="E379" s="17" t="n"/>
    </row>
    <row r="380">
      <c r="A380" s="16" t="n"/>
      <c r="E380" s="17" t="n"/>
    </row>
    <row r="381">
      <c r="A381" s="16" t="n"/>
      <c r="E381" s="17" t="n"/>
    </row>
    <row r="382">
      <c r="A382" s="16" t="n"/>
      <c r="E382" s="17" t="n"/>
    </row>
    <row r="383">
      <c r="A383" s="16" t="n"/>
      <c r="E383" s="17" t="n"/>
    </row>
    <row r="384">
      <c r="A384" s="16" t="n"/>
      <c r="E384" s="17" t="n"/>
    </row>
    <row r="385">
      <c r="A385" s="16" t="n"/>
      <c r="E385" s="17" t="n"/>
    </row>
    <row r="386">
      <c r="A386" s="16" t="n"/>
      <c r="E386" s="17" t="n"/>
    </row>
    <row r="387">
      <c r="A387" s="16" t="n"/>
      <c r="E387" s="17" t="n"/>
    </row>
    <row r="388">
      <c r="A388" s="16" t="n"/>
      <c r="E388" s="17" t="n"/>
    </row>
    <row r="389">
      <c r="A389" s="16" t="n"/>
      <c r="E389" s="17" t="n"/>
    </row>
    <row r="390">
      <c r="A390" s="16" t="n"/>
      <c r="E390" s="17" t="n"/>
    </row>
    <row r="391">
      <c r="A391" s="16" t="n"/>
      <c r="E391" s="17" t="n"/>
    </row>
    <row r="392">
      <c r="A392" s="16" t="n"/>
      <c r="E392" s="17" t="n"/>
    </row>
    <row r="393">
      <c r="A393" s="16" t="n"/>
      <c r="E393" s="17" t="n"/>
    </row>
    <row r="394">
      <c r="A394" s="16" t="n"/>
      <c r="E394" s="17" t="n"/>
    </row>
    <row r="395">
      <c r="A395" s="16" t="n"/>
      <c r="E395" s="17" t="n"/>
    </row>
    <row r="396">
      <c r="A396" s="16" t="n"/>
      <c r="E396" s="17" t="n"/>
    </row>
    <row r="397">
      <c r="A397" s="16" t="n"/>
      <c r="E397" s="17" t="n"/>
    </row>
    <row r="398">
      <c r="A398" s="16" t="n"/>
      <c r="E398" s="17" t="n"/>
    </row>
    <row r="399">
      <c r="A399" s="16" t="n"/>
      <c r="E399" s="17" t="n"/>
    </row>
    <row r="400">
      <c r="A400" s="16" t="n"/>
      <c r="E400" s="17" t="n"/>
    </row>
  </sheetData>
  <dataValidations count="2">
    <dataValidation sqref="C5:C400" showDropDown="0" showInputMessage="0" showErrorMessage="0" allowBlank="1" type="list">
      <formula1>"Entrada,Saída"</formula1>
    </dataValidation>
    <dataValidation sqref="D5:D400" showDropDown="0" showInputMessage="0" showErrorMessage="0" allowBlank="1" type="list">
      <formula1>"Cliente recorrente,Projeto pontual,Ferramentas,Impostos,Marketing,Equipamento,Pró-labore,Outros"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2026-09-30T22:30:55Z</dcterms:created>
  <dcterms:modified xmlns:dcterms="http://purl.org/dc/terms/" xmlns:xsi="http://www.w3.org/2001/XMLSchema-instance" xsi:type="dcterms:W3CDTF">2026-09-30T22:30:55Z</dcterms:modified>
</cp:coreProperties>
</file>