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aios L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  <col width="11" customWidth="1" min="11" max="11"/>
    <col width="10" customWidth="1" min="12" max="12"/>
    <col width="11" customWidth="1" min="13" max="13"/>
    <col width="11" customWidth="1" min="14" max="14"/>
    <col width="12" customWidth="1" min="15" max="15"/>
    <col width="12" customWidth="1" min="16" max="16"/>
    <col width="12" customWidth="1" min="17" max="17"/>
    <col width="13" customWidth="1" min="18" max="18"/>
  </cols>
  <sheetData>
    <row r="1">
      <c r="A1" s="1" t="inlineStr">
        <is>
          <t>Níveis</t>
        </is>
      </c>
    </row>
    <row r="2">
      <c r="A2" s="1" t="inlineStr">
        <is>
          <t>Parâmetro</t>
        </is>
      </c>
      <c r="B2" s="1" t="inlineStr">
        <is>
          <t>Nível 1</t>
        </is>
      </c>
      <c r="C2" s="1" t="inlineStr">
        <is>
          <t>Nível 2</t>
        </is>
      </c>
      <c r="D2" s="1" t="inlineStr">
        <is>
          <t>Nível 3</t>
        </is>
      </c>
      <c r="F2" t="inlineStr">
        <is>
          <t>D (mm)</t>
        </is>
      </c>
      <c r="G2" t="n">
        <v>50</v>
      </c>
    </row>
    <row r="3">
      <c r="A3" t="inlineStr">
        <is>
          <t>n (rpm)</t>
        </is>
      </c>
      <c r="B3" t="n">
        <v>1000</v>
      </c>
      <c r="C3" t="n">
        <v>1500</v>
      </c>
      <c r="D3" t="n">
        <v>2000</v>
      </c>
      <c r="F3" t="inlineStr">
        <is>
          <t>rε (mm)</t>
        </is>
      </c>
      <c r="G3" t="n">
        <v>1.2</v>
      </c>
    </row>
    <row r="4">
      <c r="A4" t="inlineStr">
        <is>
          <t>fn (mm/rot)</t>
        </is>
      </c>
      <c r="B4" t="n">
        <v>0.1</v>
      </c>
      <c r="C4" t="n">
        <v>0.2</v>
      </c>
      <c r="D4" t="n">
        <v>0.3</v>
      </c>
      <c r="F4" t="inlineStr">
        <is>
          <t>kc (N/mm²)</t>
        </is>
      </c>
      <c r="G4" t="n">
        <v>500</v>
      </c>
    </row>
    <row r="5">
      <c r="A5" t="inlineStr">
        <is>
          <t>ap (mm)</t>
        </is>
      </c>
      <c r="B5" t="n">
        <v>0.5</v>
      </c>
      <c r="C5" t="n">
        <v>1</v>
      </c>
      <c r="D5" t="n">
        <v>1.5</v>
      </c>
      <c r="F5" t="inlineStr">
        <is>
          <t>L usinado (mm)</t>
        </is>
      </c>
      <c r="G5" t="n">
        <v>80</v>
      </c>
    </row>
    <row r="8">
      <c r="A8" s="2" t="inlineStr">
        <is>
          <t>Ensaio</t>
        </is>
      </c>
      <c r="B8" s="2" t="inlineStr">
        <is>
          <t>Nív n</t>
        </is>
      </c>
      <c r="C8" s="2" t="inlineStr">
        <is>
          <t>Nív fn</t>
        </is>
      </c>
      <c r="D8" s="2" t="inlineStr">
        <is>
          <t>Nív ap</t>
        </is>
      </c>
      <c r="E8" s="2" t="inlineStr">
        <is>
          <t>n (rpm)</t>
        </is>
      </c>
      <c r="F8" s="2" t="inlineStr">
        <is>
          <t>fn (mm/rot)</t>
        </is>
      </c>
      <c r="G8" s="2" t="inlineStr">
        <is>
          <t>ap (mm)</t>
        </is>
      </c>
      <c r="H8" s="2" t="inlineStr">
        <is>
          <t>vc (m/min)</t>
        </is>
      </c>
      <c r="I8" s="2" t="inlineStr">
        <is>
          <t>vf (mm/min)</t>
        </is>
      </c>
      <c r="J8" s="2" t="inlineStr">
        <is>
          <t>Fc (N)</t>
        </is>
      </c>
      <c r="K8" s="2" t="inlineStr">
        <is>
          <t>Ra teór (µm)</t>
        </is>
      </c>
      <c r="L8" s="2" t="inlineStr">
        <is>
          <t>t corte (s)</t>
        </is>
      </c>
      <c r="M8" s="2" t="inlineStr">
        <is>
          <t>Ra R1 (µm)</t>
        </is>
      </c>
      <c r="N8" s="2" t="inlineStr">
        <is>
          <t>Ra R2 (µm)</t>
        </is>
      </c>
      <c r="O8" s="2" t="inlineStr">
        <is>
          <t>Ra média (µm)</t>
        </is>
      </c>
      <c r="P8" s="2" t="inlineStr">
        <is>
          <t>Vib R1 (m/s²)</t>
        </is>
      </c>
      <c r="Q8" s="2" t="inlineStr">
        <is>
          <t>Vib R2 (m/s²)</t>
        </is>
      </c>
      <c r="R8" s="2" t="inlineStr">
        <is>
          <t>Vib média (m/s²)</t>
        </is>
      </c>
    </row>
    <row r="9">
      <c r="A9" s="3" t="n">
        <v>1</v>
      </c>
      <c r="B9" s="3" t="n">
        <v>1</v>
      </c>
      <c r="C9" s="3" t="n">
        <v>1</v>
      </c>
      <c r="D9" s="3" t="n">
        <v>1</v>
      </c>
      <c r="E9" s="3">
        <f>INDEX($B$3:$D$3,B9)</f>
        <v/>
      </c>
      <c r="F9" s="3">
        <f>INDEX($B$4:$D$4,C9)</f>
        <v/>
      </c>
      <c r="G9" s="3">
        <f>INDEX($B$5:$D$5,D9)</f>
        <v/>
      </c>
      <c r="H9" s="3">
        <f>ROUND(PI()*$G$2*E9/1000,1)</f>
        <v/>
      </c>
      <c r="I9" s="3">
        <f>F9*E9</f>
        <v/>
      </c>
      <c r="J9" s="3">
        <f>$G$4*G9*F9</f>
        <v/>
      </c>
      <c r="K9" s="3">
        <f>ROUND(1000*F9^2/(18*SQRT(3)*$G$3),2)</f>
        <v/>
      </c>
      <c r="L9" s="3">
        <f>ROUND($G$5/I9*60,1)</f>
        <v/>
      </c>
      <c r="M9" s="4" t="n"/>
      <c r="N9" s="4" t="n"/>
      <c r="O9" s="3">
        <f>IF(COUNT(M9:N9),AVERAGE(M9:N9),"")</f>
        <v/>
      </c>
      <c r="P9" s="4" t="n"/>
      <c r="Q9" s="4" t="n"/>
      <c r="R9" s="3">
        <f>IF(COUNT(P9:Q9),AVERAGE(P9:Q9),"")</f>
        <v/>
      </c>
    </row>
    <row r="10">
      <c r="A10" s="3" t="n">
        <v>2</v>
      </c>
      <c r="B10" s="3" t="n">
        <v>1</v>
      </c>
      <c r="C10" s="3" t="n">
        <v>2</v>
      </c>
      <c r="D10" s="3" t="n">
        <v>2</v>
      </c>
      <c r="E10" s="3">
        <f>INDEX($B$3:$D$3,B10)</f>
        <v/>
      </c>
      <c r="F10" s="3">
        <f>INDEX($B$4:$D$4,C10)</f>
        <v/>
      </c>
      <c r="G10" s="3">
        <f>INDEX($B$5:$D$5,D10)</f>
        <v/>
      </c>
      <c r="H10" s="3">
        <f>ROUND(PI()*$G$2*E10/1000,1)</f>
        <v/>
      </c>
      <c r="I10" s="3">
        <f>F10*E10</f>
        <v/>
      </c>
      <c r="J10" s="3">
        <f>$G$4*G10*F10</f>
        <v/>
      </c>
      <c r="K10" s="3">
        <f>ROUND(1000*F10^2/(18*SQRT(3)*$G$3),2)</f>
        <v/>
      </c>
      <c r="L10" s="3">
        <f>ROUND($G$5/I10*60,1)</f>
        <v/>
      </c>
      <c r="M10" s="4" t="n"/>
      <c r="N10" s="4" t="n"/>
      <c r="O10" s="3">
        <f>IF(COUNT(M10:N10),AVERAGE(M10:N10),"")</f>
        <v/>
      </c>
      <c r="P10" s="4" t="n"/>
      <c r="Q10" s="4" t="n"/>
      <c r="R10" s="3">
        <f>IF(COUNT(P10:Q10),AVERAGE(P10:Q10),"")</f>
        <v/>
      </c>
    </row>
    <row r="11">
      <c r="A11" s="3" t="n">
        <v>3</v>
      </c>
      <c r="B11" s="3" t="n">
        <v>1</v>
      </c>
      <c r="C11" s="3" t="n">
        <v>3</v>
      </c>
      <c r="D11" s="3" t="n">
        <v>3</v>
      </c>
      <c r="E11" s="3">
        <f>INDEX($B$3:$D$3,B11)</f>
        <v/>
      </c>
      <c r="F11" s="3">
        <f>INDEX($B$4:$D$4,C11)</f>
        <v/>
      </c>
      <c r="G11" s="3">
        <f>INDEX($B$5:$D$5,D11)</f>
        <v/>
      </c>
      <c r="H11" s="3">
        <f>ROUND(PI()*$G$2*E11/1000,1)</f>
        <v/>
      </c>
      <c r="I11" s="3">
        <f>F11*E11</f>
        <v/>
      </c>
      <c r="J11" s="3">
        <f>$G$4*G11*F11</f>
        <v/>
      </c>
      <c r="K11" s="3">
        <f>ROUND(1000*F11^2/(18*SQRT(3)*$G$3),2)</f>
        <v/>
      </c>
      <c r="L11" s="3">
        <f>ROUND($G$5/I11*60,1)</f>
        <v/>
      </c>
      <c r="M11" s="4" t="n"/>
      <c r="N11" s="4" t="n"/>
      <c r="O11" s="3">
        <f>IF(COUNT(M11:N11),AVERAGE(M11:N11),"")</f>
        <v/>
      </c>
      <c r="P11" s="4" t="n"/>
      <c r="Q11" s="4" t="n"/>
      <c r="R11" s="3">
        <f>IF(COUNT(P11:Q11),AVERAGE(P11:Q11),"")</f>
        <v/>
      </c>
    </row>
    <row r="12">
      <c r="A12" s="3" t="n">
        <v>4</v>
      </c>
      <c r="B12" s="3" t="n">
        <v>2</v>
      </c>
      <c r="C12" s="3" t="n">
        <v>1</v>
      </c>
      <c r="D12" s="3" t="n">
        <v>2</v>
      </c>
      <c r="E12" s="3">
        <f>INDEX($B$3:$D$3,B12)</f>
        <v/>
      </c>
      <c r="F12" s="3">
        <f>INDEX($B$4:$D$4,C12)</f>
        <v/>
      </c>
      <c r="G12" s="3">
        <f>INDEX($B$5:$D$5,D12)</f>
        <v/>
      </c>
      <c r="H12" s="3">
        <f>ROUND(PI()*$G$2*E12/1000,1)</f>
        <v/>
      </c>
      <c r="I12" s="3">
        <f>F12*E12</f>
        <v/>
      </c>
      <c r="J12" s="3">
        <f>$G$4*G12*F12</f>
        <v/>
      </c>
      <c r="K12" s="3">
        <f>ROUND(1000*F12^2/(18*SQRT(3)*$G$3),2)</f>
        <v/>
      </c>
      <c r="L12" s="3">
        <f>ROUND($G$5/I12*60,1)</f>
        <v/>
      </c>
      <c r="M12" s="4" t="n"/>
      <c r="N12" s="4" t="n"/>
      <c r="O12" s="3">
        <f>IF(COUNT(M12:N12),AVERAGE(M12:N12),"")</f>
        <v/>
      </c>
      <c r="P12" s="4" t="n"/>
      <c r="Q12" s="4" t="n"/>
      <c r="R12" s="3">
        <f>IF(COUNT(P12:Q12),AVERAGE(P12:Q12),"")</f>
        <v/>
      </c>
    </row>
    <row r="13">
      <c r="A13" s="3" t="n">
        <v>5</v>
      </c>
      <c r="B13" s="3" t="n">
        <v>2</v>
      </c>
      <c r="C13" s="3" t="n">
        <v>2</v>
      </c>
      <c r="D13" s="3" t="n">
        <v>3</v>
      </c>
      <c r="E13" s="3">
        <f>INDEX($B$3:$D$3,B13)</f>
        <v/>
      </c>
      <c r="F13" s="3">
        <f>INDEX($B$4:$D$4,C13)</f>
        <v/>
      </c>
      <c r="G13" s="3">
        <f>INDEX($B$5:$D$5,D13)</f>
        <v/>
      </c>
      <c r="H13" s="3">
        <f>ROUND(PI()*$G$2*E13/1000,1)</f>
        <v/>
      </c>
      <c r="I13" s="3">
        <f>F13*E13</f>
        <v/>
      </c>
      <c r="J13" s="3">
        <f>$G$4*G13*F13</f>
        <v/>
      </c>
      <c r="K13" s="3">
        <f>ROUND(1000*F13^2/(18*SQRT(3)*$G$3),2)</f>
        <v/>
      </c>
      <c r="L13" s="3">
        <f>ROUND($G$5/I13*60,1)</f>
        <v/>
      </c>
      <c r="M13" s="4" t="n"/>
      <c r="N13" s="4" t="n"/>
      <c r="O13" s="3">
        <f>IF(COUNT(M13:N13),AVERAGE(M13:N13),"")</f>
        <v/>
      </c>
      <c r="P13" s="4" t="n"/>
      <c r="Q13" s="4" t="n"/>
      <c r="R13" s="3">
        <f>IF(COUNT(P13:Q13),AVERAGE(P13:Q13),"")</f>
        <v/>
      </c>
    </row>
    <row r="14">
      <c r="A14" s="3" t="n">
        <v>6</v>
      </c>
      <c r="B14" s="3" t="n">
        <v>2</v>
      </c>
      <c r="C14" s="3" t="n">
        <v>3</v>
      </c>
      <c r="D14" s="3" t="n">
        <v>1</v>
      </c>
      <c r="E14" s="3">
        <f>INDEX($B$3:$D$3,B14)</f>
        <v/>
      </c>
      <c r="F14" s="3">
        <f>INDEX($B$4:$D$4,C14)</f>
        <v/>
      </c>
      <c r="G14" s="3">
        <f>INDEX($B$5:$D$5,D14)</f>
        <v/>
      </c>
      <c r="H14" s="3">
        <f>ROUND(PI()*$G$2*E14/1000,1)</f>
        <v/>
      </c>
      <c r="I14" s="3">
        <f>F14*E14</f>
        <v/>
      </c>
      <c r="J14" s="3">
        <f>$G$4*G14*F14</f>
        <v/>
      </c>
      <c r="K14" s="3">
        <f>ROUND(1000*F14^2/(18*SQRT(3)*$G$3),2)</f>
        <v/>
      </c>
      <c r="L14" s="3">
        <f>ROUND($G$5/I14*60,1)</f>
        <v/>
      </c>
      <c r="M14" s="4" t="n"/>
      <c r="N14" s="4" t="n"/>
      <c r="O14" s="3">
        <f>IF(COUNT(M14:N14),AVERAGE(M14:N14),"")</f>
        <v/>
      </c>
      <c r="P14" s="4" t="n"/>
      <c r="Q14" s="4" t="n"/>
      <c r="R14" s="3">
        <f>IF(COUNT(P14:Q14),AVERAGE(P14:Q14),"")</f>
        <v/>
      </c>
    </row>
    <row r="15">
      <c r="A15" s="3" t="n">
        <v>7</v>
      </c>
      <c r="B15" s="3" t="n">
        <v>3</v>
      </c>
      <c r="C15" s="3" t="n">
        <v>1</v>
      </c>
      <c r="D15" s="3" t="n">
        <v>3</v>
      </c>
      <c r="E15" s="3">
        <f>INDEX($B$3:$D$3,B15)</f>
        <v/>
      </c>
      <c r="F15" s="3">
        <f>INDEX($B$4:$D$4,C15)</f>
        <v/>
      </c>
      <c r="G15" s="3">
        <f>INDEX($B$5:$D$5,D15)</f>
        <v/>
      </c>
      <c r="H15" s="3">
        <f>ROUND(PI()*$G$2*E15/1000,1)</f>
        <v/>
      </c>
      <c r="I15" s="3">
        <f>F15*E15</f>
        <v/>
      </c>
      <c r="J15" s="3">
        <f>$G$4*G15*F15</f>
        <v/>
      </c>
      <c r="K15" s="3">
        <f>ROUND(1000*F15^2/(18*SQRT(3)*$G$3),2)</f>
        <v/>
      </c>
      <c r="L15" s="3">
        <f>ROUND($G$5/I15*60,1)</f>
        <v/>
      </c>
      <c r="M15" s="4" t="n"/>
      <c r="N15" s="4" t="n"/>
      <c r="O15" s="3">
        <f>IF(COUNT(M15:N15),AVERAGE(M15:N15),"")</f>
        <v/>
      </c>
      <c r="P15" s="4" t="n"/>
      <c r="Q15" s="4" t="n"/>
      <c r="R15" s="3">
        <f>IF(COUNT(P15:Q15),AVERAGE(P15:Q15),"")</f>
        <v/>
      </c>
    </row>
    <row r="16">
      <c r="A16" s="3" t="n">
        <v>8</v>
      </c>
      <c r="B16" s="3" t="n">
        <v>3</v>
      </c>
      <c r="C16" s="3" t="n">
        <v>2</v>
      </c>
      <c r="D16" s="3" t="n">
        <v>1</v>
      </c>
      <c r="E16" s="3">
        <f>INDEX($B$3:$D$3,B16)</f>
        <v/>
      </c>
      <c r="F16" s="3">
        <f>INDEX($B$4:$D$4,C16)</f>
        <v/>
      </c>
      <c r="G16" s="3">
        <f>INDEX($B$5:$D$5,D16)</f>
        <v/>
      </c>
      <c r="H16" s="3">
        <f>ROUND(PI()*$G$2*E16/1000,1)</f>
        <v/>
      </c>
      <c r="I16" s="3">
        <f>F16*E16</f>
        <v/>
      </c>
      <c r="J16" s="3">
        <f>$G$4*G16*F16</f>
        <v/>
      </c>
      <c r="K16" s="3">
        <f>ROUND(1000*F16^2/(18*SQRT(3)*$G$3),2)</f>
        <v/>
      </c>
      <c r="L16" s="3">
        <f>ROUND($G$5/I16*60,1)</f>
        <v/>
      </c>
      <c r="M16" s="4" t="n"/>
      <c r="N16" s="4" t="n"/>
      <c r="O16" s="3">
        <f>IF(COUNT(M16:N16),AVERAGE(M16:N16),"")</f>
        <v/>
      </c>
      <c r="P16" s="4" t="n"/>
      <c r="Q16" s="4" t="n"/>
      <c r="R16" s="3">
        <f>IF(COUNT(P16:Q16),AVERAGE(P16:Q16),"")</f>
        <v/>
      </c>
    </row>
    <row r="17">
      <c r="A17" s="3" t="n">
        <v>9</v>
      </c>
      <c r="B17" s="3" t="n">
        <v>3</v>
      </c>
      <c r="C17" s="3" t="n">
        <v>3</v>
      </c>
      <c r="D17" s="3" t="n">
        <v>2</v>
      </c>
      <c r="E17" s="3">
        <f>INDEX($B$3:$D$3,B17)</f>
        <v/>
      </c>
      <c r="F17" s="3">
        <f>INDEX($B$4:$D$4,C17)</f>
        <v/>
      </c>
      <c r="G17" s="3">
        <f>INDEX($B$5:$D$5,D17)</f>
        <v/>
      </c>
      <c r="H17" s="3">
        <f>ROUND(PI()*$G$2*E17/1000,1)</f>
        <v/>
      </c>
      <c r="I17" s="3">
        <f>F17*E17</f>
        <v/>
      </c>
      <c r="J17" s="3">
        <f>$G$4*G17*F17</f>
        <v/>
      </c>
      <c r="K17" s="3">
        <f>ROUND(1000*F17^2/(18*SQRT(3)*$G$3),2)</f>
        <v/>
      </c>
      <c r="L17" s="3">
        <f>ROUND($G$5/I17*60,1)</f>
        <v/>
      </c>
      <c r="M17" s="4" t="n"/>
      <c r="N17" s="4" t="n"/>
      <c r="O17" s="3">
        <f>IF(COUNT(M17:N17),AVERAGE(M17:N17),"")</f>
        <v/>
      </c>
      <c r="P17" s="4" t="n"/>
      <c r="Q17" s="4" t="n"/>
      <c r="R17" s="3">
        <f>IF(COUNT(P17:Q17),AVERAGE(P17:Q17),"")</f>
        <v/>
      </c>
    </row>
    <row r="19">
      <c r="A19" s="5" t="inlineStr">
        <is>
          <t>Células amarelas: digitar as medições do rugosímetro e do acelerômetro.</t>
        </is>
      </c>
    </row>
    <row r="21">
      <c r="A21" s="1" t="inlineStr">
        <is>
          <t>Efeitos principais (média por nível)</t>
        </is>
      </c>
    </row>
    <row r="22">
      <c r="A22" s="6" t="inlineStr">
        <is>
          <t>Parâmetro</t>
        </is>
      </c>
      <c r="B22" s="6" t="inlineStr">
        <is>
          <t>Resposta</t>
        </is>
      </c>
      <c r="C22" s="6" t="inlineStr">
        <is>
          <t>Nível 1</t>
        </is>
      </c>
      <c r="D22" s="6" t="inlineStr">
        <is>
          <t>Nível 2</t>
        </is>
      </c>
      <c r="E22" s="6" t="inlineStr">
        <is>
          <t>Nível 3</t>
        </is>
      </c>
      <c r="F22" s="6" t="inlineStr">
        <is>
          <t>Δ</t>
        </is>
      </c>
    </row>
    <row r="23">
      <c r="A23" s="7" t="inlineStr">
        <is>
          <t>Rotação</t>
        </is>
      </c>
      <c r="B23" s="7" t="inlineStr">
        <is>
          <t>Ra (µm)</t>
        </is>
      </c>
      <c r="C23" s="7">
        <f>IFERROR(AVERAGEIF(B9:B17,1,O9:O17),"")</f>
        <v/>
      </c>
      <c r="D23" s="7">
        <f>IFERROR(AVERAGEIF(B9:B17,2,O9:O17),"")</f>
        <v/>
      </c>
      <c r="E23" s="7">
        <f>IFERROR(AVERAGEIF(B9:B17,3,O9:O17),"")</f>
        <v/>
      </c>
      <c r="F23" s="7">
        <f>IF(COUNT(C23:E23)=0,"",MAX(C23:E23)-MIN(C23:E23))</f>
        <v/>
      </c>
    </row>
    <row r="24">
      <c r="A24" s="7" t="inlineStr">
        <is>
          <t>Rotação</t>
        </is>
      </c>
      <c r="B24" s="7" t="inlineStr">
        <is>
          <t>Vibração (m/s²)</t>
        </is>
      </c>
      <c r="C24" s="7">
        <f>IFERROR(AVERAGEIF(B9:B17,1,R9:R17),"")</f>
        <v/>
      </c>
      <c r="D24" s="7">
        <f>IFERROR(AVERAGEIF(B9:B17,2,R9:R17),"")</f>
        <v/>
      </c>
      <c r="E24" s="7">
        <f>IFERROR(AVERAGEIF(B9:B17,3,R9:R17),"")</f>
        <v/>
      </c>
      <c r="F24" s="7">
        <f>IF(COUNT(C24:E24)=0,"",MAX(C24:E24)-MIN(C24:E24))</f>
        <v/>
      </c>
    </row>
    <row r="25">
      <c r="A25" s="7" t="inlineStr">
        <is>
          <t>Avanço</t>
        </is>
      </c>
      <c r="B25" s="7" t="inlineStr">
        <is>
          <t>Ra (µm)</t>
        </is>
      </c>
      <c r="C25" s="7">
        <f>IFERROR(AVERAGEIF(C9:C17,1,O9:O17),"")</f>
        <v/>
      </c>
      <c r="D25" s="7">
        <f>IFERROR(AVERAGEIF(C9:C17,2,O9:O17),"")</f>
        <v/>
      </c>
      <c r="E25" s="7">
        <f>IFERROR(AVERAGEIF(C9:C17,3,O9:O17),"")</f>
        <v/>
      </c>
      <c r="F25" s="7">
        <f>IF(COUNT(C25:E25)=0,"",MAX(C25:E25)-MIN(C25:E25))</f>
        <v/>
      </c>
    </row>
    <row r="26">
      <c r="A26" s="7" t="inlineStr">
        <is>
          <t>Avanço</t>
        </is>
      </c>
      <c r="B26" s="7" t="inlineStr">
        <is>
          <t>Vibração (m/s²)</t>
        </is>
      </c>
      <c r="C26" s="7">
        <f>IFERROR(AVERAGEIF(C9:C17,1,R9:R17),"")</f>
        <v/>
      </c>
      <c r="D26" s="7">
        <f>IFERROR(AVERAGEIF(C9:C17,2,R9:R17),"")</f>
        <v/>
      </c>
      <c r="E26" s="7">
        <f>IFERROR(AVERAGEIF(C9:C17,3,R9:R17),"")</f>
        <v/>
      </c>
      <c r="F26" s="7">
        <f>IF(COUNT(C26:E26)=0,"",MAX(C26:E26)-MIN(C26:E26))</f>
        <v/>
      </c>
    </row>
    <row r="27">
      <c r="A27" s="7" t="inlineStr">
        <is>
          <t>Profundidade</t>
        </is>
      </c>
      <c r="B27" s="7" t="inlineStr">
        <is>
          <t>Ra (µm)</t>
        </is>
      </c>
      <c r="C27" s="7">
        <f>IFERROR(AVERAGEIF(D9:D17,1,O9:O17),"")</f>
        <v/>
      </c>
      <c r="D27" s="7">
        <f>IFERROR(AVERAGEIF(D9:D17,2,O9:O17),"")</f>
        <v/>
      </c>
      <c r="E27" s="7">
        <f>IFERROR(AVERAGEIF(D9:D17,3,O9:O17),"")</f>
        <v/>
      </c>
      <c r="F27" s="7">
        <f>IF(COUNT(C27:E27)=0,"",MAX(C27:E27)-MIN(C27:E27))</f>
        <v/>
      </c>
    </row>
    <row r="28">
      <c r="A28" s="7" t="inlineStr">
        <is>
          <t>Profundidade</t>
        </is>
      </c>
      <c r="B28" s="7" t="inlineStr">
        <is>
          <t>Vibração (m/s²)</t>
        </is>
      </c>
      <c r="C28" s="7">
        <f>IFERROR(AVERAGEIF(D9:D17,1,R9:R17),"")</f>
        <v/>
      </c>
      <c r="D28" s="7">
        <f>IFERROR(AVERAGEIF(D9:D17,2,R9:R17),"")</f>
        <v/>
      </c>
      <c r="E28" s="7">
        <f>IFERROR(AVERAGEIF(D9:D17,3,R9:R17),"")</f>
        <v/>
      </c>
      <c r="F28" s="7">
        <f>IF(COUNT(C28:E28)=0,"",MAX(C28:E28)-MIN(C28:E28))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2026-10-06T22:22:53Z</dcterms:created>
  <dcterms:modified xmlns:dcterms="http://purl.org/dc/terms/" xmlns:xsi="http://www.w3.org/2001/XMLSchema-instance" xsi:type="dcterms:W3CDTF">2026-10-06T22:23:02Z</dcterms:modified>
</cp:coreProperties>
</file>